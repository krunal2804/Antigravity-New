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6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7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8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\Desktop\NH\Client Data\iD Fresh Foods India Pvt Ltd\Executive Summary and Client Commitment Score\"/>
    </mc:Choice>
  </mc:AlternateContent>
  <xr:revisionPtr revIDLastSave="0" documentId="13_ncr:1_{E10BDE9E-2C7D-4A3B-BE4A-EA6689B20771}" xr6:coauthVersionLast="47" xr6:coauthVersionMax="47" xr10:uidLastSave="{00000000-0000-0000-0000-000000000000}"/>
  <bookViews>
    <workbookView xWindow="-110" yWindow="-110" windowWidth="19420" windowHeight="10300" tabRatio="629" firstSheet="1" activeTab="1" xr2:uid="{00000000-000D-0000-FFFF-FFFF00000000}"/>
  </bookViews>
  <sheets>
    <sheet name="Summary" sheetId="16" state="hidden" r:id="rId1"/>
    <sheet name="T &amp; M (WS1)" sheetId="3" r:id="rId2"/>
    <sheet name="T &amp; M (WS2)" sheetId="18" state="hidden" r:id="rId3"/>
    <sheet name="T &amp; M (WS3)" sheetId="19" state="hidden" r:id="rId4"/>
    <sheet name="T &amp; M (WS4)" sheetId="20" state="hidden" r:id="rId5"/>
    <sheet name="Key to Score" sheetId="17" state="hidden" r:id="rId6"/>
    <sheet name="WS 10" sheetId="12" state="hidden" r:id="rId7"/>
    <sheet name="WS 11" sheetId="13" state="hidden" r:id="rId8"/>
    <sheet name="WS 12" sheetId="14" state="hidden" r:id="rId9"/>
  </sheets>
  <externalReferences>
    <externalReference r:id="rId10"/>
  </externalReferences>
  <definedNames>
    <definedName name="_xlnm.Print_Area" localSheetId="0">Summary!$A$1:$G$37</definedName>
    <definedName name="_xlnm.Print_Area" localSheetId="1">'T &amp; M (WS1)'!$A$1:$G$56</definedName>
    <definedName name="_xlnm.Print_Area" localSheetId="2">'T &amp; M (WS2)'!$A$1:$G$56</definedName>
    <definedName name="_xlnm.Print_Area" localSheetId="3">'T &amp; M (WS3)'!$A$1:$G$56</definedName>
    <definedName name="_xlnm.Print_Area" localSheetId="4">'T &amp; M (WS4)'!$A$1:$G$56</definedName>
    <definedName name="_xlnm.Print_Area" localSheetId="6">'WS 10'!$A$1:$G$64</definedName>
    <definedName name="_xlnm.Print_Area" localSheetId="7">'WS 11'!$A$1:$G$64</definedName>
    <definedName name="_xlnm.Print_Area" localSheetId="8">'WS 12'!$A$1:$G$64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20" l="1"/>
  <c r="D43" i="20"/>
  <c r="D35" i="20"/>
  <c r="D27" i="20"/>
  <c r="A23" i="20"/>
  <c r="D51" i="19"/>
  <c r="D43" i="19"/>
  <c r="D35" i="19"/>
  <c r="D27" i="19"/>
  <c r="A23" i="19"/>
  <c r="D51" i="18"/>
  <c r="D43" i="18"/>
  <c r="D35" i="18"/>
  <c r="D27" i="18"/>
  <c r="D54" i="18" s="1"/>
  <c r="A23" i="18"/>
  <c r="D54" i="19" l="1"/>
  <c r="D54" i="20"/>
  <c r="A24" i="20"/>
  <c r="A24" i="19"/>
  <c r="A24" i="18"/>
  <c r="A25" i="18" s="1"/>
  <c r="A26" i="18" s="1"/>
  <c r="A30" i="18" s="1"/>
  <c r="A10" i="16"/>
  <c r="A9" i="16"/>
  <c r="A8" i="16"/>
  <c r="A25" i="19" l="1"/>
  <c r="A26" i="19" s="1"/>
  <c r="A30" i="19" s="1"/>
  <c r="D28" i="19"/>
  <c r="A25" i="20"/>
  <c r="A26" i="20" s="1"/>
  <c r="A30" i="20" s="1"/>
  <c r="A32" i="20" s="1"/>
  <c r="A33" i="20" s="1"/>
  <c r="A34" i="20" s="1"/>
  <c r="A38" i="20" s="1"/>
  <c r="D28" i="20"/>
  <c r="D29" i="20" s="1"/>
  <c r="F8" i="16" s="1"/>
  <c r="A32" i="19"/>
  <c r="A33" i="19" s="1"/>
  <c r="A34" i="19" s="1"/>
  <c r="A38" i="19" s="1"/>
  <c r="D29" i="19"/>
  <c r="E8" i="16" s="1"/>
  <c r="A32" i="18"/>
  <c r="A33" i="18" s="1"/>
  <c r="A34" i="18" s="1"/>
  <c r="A38" i="18" s="1"/>
  <c r="D28" i="18"/>
  <c r="D35" i="3"/>
  <c r="D51" i="3"/>
  <c r="D59" i="14"/>
  <c r="D51" i="14"/>
  <c r="D43" i="14"/>
  <c r="D35" i="14"/>
  <c r="D27" i="14"/>
  <c r="D59" i="13"/>
  <c r="D51" i="13"/>
  <c r="D43" i="13"/>
  <c r="D35" i="13"/>
  <c r="D27" i="13"/>
  <c r="D59" i="12"/>
  <c r="D51" i="12"/>
  <c r="D43" i="12"/>
  <c r="D35" i="12"/>
  <c r="D27" i="12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" i="14"/>
  <c r="C2" i="13"/>
  <c r="C2" i="12"/>
  <c r="A23" i="14"/>
  <c r="A23" i="13"/>
  <c r="A23" i="12"/>
  <c r="A24" i="12" l="1"/>
  <c r="A24" i="14"/>
  <c r="D62" i="12"/>
  <c r="D62" i="13"/>
  <c r="D62" i="14"/>
  <c r="A39" i="20"/>
  <c r="A40" i="20" s="1"/>
  <c r="A46" i="20" s="1"/>
  <c r="D36" i="20"/>
  <c r="D37" i="20" s="1"/>
  <c r="F9" i="16" s="1"/>
  <c r="A39" i="19"/>
  <c r="D36" i="19"/>
  <c r="D37" i="19" s="1"/>
  <c r="E9" i="16" s="1"/>
  <c r="A39" i="18"/>
  <c r="A40" i="18" s="1"/>
  <c r="A46" i="18" s="1"/>
  <c r="D44" i="18"/>
  <c r="D45" i="18" s="1"/>
  <c r="D10" i="16" s="1"/>
  <c r="D36" i="18"/>
  <c r="D37" i="18" s="1"/>
  <c r="D9" i="16" s="1"/>
  <c r="D29" i="18"/>
  <c r="D8" i="16" s="1"/>
  <c r="A24" i="13"/>
  <c r="D43" i="3"/>
  <c r="D27" i="3"/>
  <c r="A23" i="3"/>
  <c r="A25" i="13" l="1"/>
  <c r="A26" i="13" s="1"/>
  <c r="A30" i="13" s="1"/>
  <c r="D28" i="13"/>
  <c r="A40" i="19"/>
  <c r="A46" i="19" s="1"/>
  <c r="D44" i="19"/>
  <c r="D45" i="19" s="1"/>
  <c r="E10" i="16" s="1"/>
  <c r="A25" i="14"/>
  <c r="A26" i="14" s="1"/>
  <c r="A30" i="14" s="1"/>
  <c r="D28" i="14"/>
  <c r="A25" i="12"/>
  <c r="A26" i="12" s="1"/>
  <c r="A30" i="12" s="1"/>
  <c r="D28" i="12"/>
  <c r="A47" i="20"/>
  <c r="A48" i="20" s="1"/>
  <c r="A49" i="20" s="1"/>
  <c r="A50" i="20" s="1"/>
  <c r="D44" i="20"/>
  <c r="A47" i="19"/>
  <c r="A48" i="19" s="1"/>
  <c r="A49" i="19" s="1"/>
  <c r="A50" i="19" s="1"/>
  <c r="A47" i="18"/>
  <c r="A48" i="18" s="1"/>
  <c r="A49" i="18" s="1"/>
  <c r="A50" i="18" s="1"/>
  <c r="D54" i="3"/>
  <c r="A31" i="13"/>
  <c r="A32" i="13" s="1"/>
  <c r="A33" i="13" s="1"/>
  <c r="A34" i="13" s="1"/>
  <c r="A38" i="13" s="1"/>
  <c r="A24" i="3"/>
  <c r="A25" i="3" s="1"/>
  <c r="A26" i="3" s="1"/>
  <c r="A30" i="3" s="1"/>
  <c r="D29" i="12" l="1"/>
  <c r="A31" i="12"/>
  <c r="D29" i="14"/>
  <c r="A31" i="14"/>
  <c r="D29" i="13"/>
  <c r="D36" i="13"/>
  <c r="D37" i="13" s="1"/>
  <c r="D45" i="20"/>
  <c r="F10" i="16" s="1"/>
  <c r="D52" i="20"/>
  <c r="D53" i="20" s="1"/>
  <c r="F11" i="16" s="1"/>
  <c r="D52" i="19"/>
  <c r="D52" i="18"/>
  <c r="D28" i="3"/>
  <c r="A39" i="13"/>
  <c r="A32" i="3"/>
  <c r="A33" i="3" s="1"/>
  <c r="A34" i="3" s="1"/>
  <c r="A38" i="3" s="1"/>
  <c r="A40" i="13" l="1"/>
  <c r="A41" i="13" s="1"/>
  <c r="A42" i="13" s="1"/>
  <c r="A46" i="13" s="1"/>
  <c r="D44" i="13"/>
  <c r="A32" i="14"/>
  <c r="A33" i="14" s="1"/>
  <c r="A34" i="14" s="1"/>
  <c r="A38" i="14" s="1"/>
  <c r="D36" i="14"/>
  <c r="D37" i="14" s="1"/>
  <c r="A32" i="12"/>
  <c r="A33" i="12" s="1"/>
  <c r="A34" i="12" s="1"/>
  <c r="A38" i="12" s="1"/>
  <c r="D36" i="12"/>
  <c r="D37" i="12" s="1"/>
  <c r="D55" i="20"/>
  <c r="D56" i="20" s="1"/>
  <c r="D53" i="19"/>
  <c r="E11" i="16" s="1"/>
  <c r="D55" i="19"/>
  <c r="D56" i="19" s="1"/>
  <c r="D53" i="18"/>
  <c r="D11" i="16" s="1"/>
  <c r="D55" i="18"/>
  <c r="D56" i="18" s="1"/>
  <c r="D29" i="3"/>
  <c r="C8" i="16" s="1"/>
  <c r="G8" i="16" s="1"/>
  <c r="A47" i="13"/>
  <c r="A48" i="13" s="1"/>
  <c r="A49" i="13" s="1"/>
  <c r="A50" i="13" s="1"/>
  <c r="A54" i="13" s="1"/>
  <c r="A39" i="3"/>
  <c r="A40" i="3" s="1"/>
  <c r="A46" i="3" s="1"/>
  <c r="D36" i="3"/>
  <c r="D37" i="3" s="1"/>
  <c r="C9" i="16" s="1"/>
  <c r="G9" i="16" s="1"/>
  <c r="N16" i="18" l="1"/>
  <c r="N18" i="18" s="1"/>
  <c r="D12" i="16"/>
  <c r="N16" i="19"/>
  <c r="N18" i="19" s="1"/>
  <c r="E12" i="16"/>
  <c r="N16" i="20"/>
  <c r="N18" i="20" s="1"/>
  <c r="F12" i="16"/>
  <c r="A39" i="12"/>
  <c r="A39" i="14"/>
  <c r="D45" i="13"/>
  <c r="D52" i="13"/>
  <c r="A47" i="3"/>
  <c r="A48" i="3" s="1"/>
  <c r="A49" i="3" s="1"/>
  <c r="A50" i="3" s="1"/>
  <c r="A55" i="13"/>
  <c r="D44" i="3"/>
  <c r="A56" i="13" l="1"/>
  <c r="A57" i="13" s="1"/>
  <c r="A58" i="13" s="1"/>
  <c r="D60" i="13"/>
  <c r="D61" i="13" s="1"/>
  <c r="D53" i="13"/>
  <c r="D63" i="13"/>
  <c r="D64" i="13" s="1"/>
  <c r="A40" i="14"/>
  <c r="A41" i="14" s="1"/>
  <c r="A42" i="14" s="1"/>
  <c r="A46" i="14" s="1"/>
  <c r="D44" i="14"/>
  <c r="A40" i="12"/>
  <c r="A41" i="12" s="1"/>
  <c r="A42" i="12" s="1"/>
  <c r="A46" i="12" s="1"/>
  <c r="D44" i="12"/>
  <c r="D52" i="3"/>
  <c r="D53" i="3" s="1"/>
  <c r="C11" i="16" s="1"/>
  <c r="G11" i="16" s="1"/>
  <c r="N16" i="13"/>
  <c r="N18" i="13" s="1"/>
  <c r="D45" i="3"/>
  <c r="C10" i="16" s="1"/>
  <c r="G10" i="16" s="1"/>
  <c r="D45" i="12" l="1"/>
  <c r="A47" i="12"/>
  <c r="D45" i="14"/>
  <c r="A47" i="14"/>
  <c r="D55" i="3"/>
  <c r="A48" i="14" l="1"/>
  <c r="A49" i="14" s="1"/>
  <c r="A50" i="14" s="1"/>
  <c r="A54" i="14" s="1"/>
  <c r="D52" i="14"/>
  <c r="A48" i="12"/>
  <c r="A49" i="12" s="1"/>
  <c r="A50" i="12" s="1"/>
  <c r="A54" i="12" s="1"/>
  <c r="D52" i="12"/>
  <c r="D56" i="3"/>
  <c r="C12" i="16" s="1"/>
  <c r="G12" i="16" s="1"/>
  <c r="D53" i="12" l="1"/>
  <c r="A55" i="12"/>
  <c r="D53" i="14"/>
  <c r="A55" i="14"/>
  <c r="N16" i="3"/>
  <c r="N18" i="3" s="1"/>
  <c r="A56" i="14" l="1"/>
  <c r="A57" i="14" s="1"/>
  <c r="A58" i="14" s="1"/>
  <c r="D60" i="14"/>
  <c r="A56" i="12"/>
  <c r="A57" i="12" s="1"/>
  <c r="A58" i="12" s="1"/>
  <c r="D60" i="12"/>
  <c r="D61" i="12" l="1"/>
  <c r="D63" i="12"/>
  <c r="D64" i="12" s="1"/>
  <c r="N16" i="12" s="1"/>
  <c r="N18" i="12" s="1"/>
  <c r="D61" i="14"/>
  <c r="D63" i="14"/>
  <c r="D64" i="14" s="1"/>
  <c r="N16" i="14" s="1"/>
  <c r="N18" i="14" s="1"/>
</calcChain>
</file>

<file path=xl/sharedStrings.xml><?xml version="1.0" encoding="utf-8"?>
<sst xmlns="http://schemas.openxmlformats.org/spreadsheetml/2006/main" count="400" uniqueCount="88">
  <si>
    <t>Client Commitment Tracker</t>
  </si>
  <si>
    <t>Client Name :</t>
  </si>
  <si>
    <t>Engagement Manager :</t>
  </si>
  <si>
    <t>Consultant :</t>
  </si>
  <si>
    <t>Total Workshops Planned :</t>
  </si>
  <si>
    <t>Workshop wise Tracker</t>
  </si>
  <si>
    <t>Overall Journey Score</t>
  </si>
  <si>
    <t>Category</t>
  </si>
  <si>
    <t>WS 1</t>
  </si>
  <si>
    <t>WS 2</t>
  </si>
  <si>
    <t>WS 3</t>
  </si>
  <si>
    <t>WS 4</t>
  </si>
  <si>
    <t>Administrative support</t>
  </si>
  <si>
    <t>Client Commitment Score</t>
  </si>
  <si>
    <t>Workshop No. :</t>
  </si>
  <si>
    <t>Workshop Date :</t>
  </si>
  <si>
    <t>Pointer</t>
  </si>
  <si>
    <t>Value</t>
  </si>
  <si>
    <t xml:space="preserve">Point </t>
  </si>
  <si>
    <t>Remain</t>
  </si>
  <si>
    <t xml:space="preserve">Circle </t>
  </si>
  <si>
    <t>Sr no</t>
  </si>
  <si>
    <t>Particulars</t>
  </si>
  <si>
    <t>Score</t>
  </si>
  <si>
    <t>Criteria</t>
  </si>
  <si>
    <t>Very Poor</t>
  </si>
  <si>
    <t>Top Management Commitment</t>
  </si>
  <si>
    <t>Does Top Management reviews project with consultants?</t>
  </si>
  <si>
    <t>Outstanding</t>
  </si>
  <si>
    <t>Poor</t>
  </si>
  <si>
    <t>Does Top Management visit Gemba on a fortnightly basis?</t>
  </si>
  <si>
    <t>Satisfactory</t>
  </si>
  <si>
    <t>Average</t>
  </si>
  <si>
    <t>Does Top Management attend opening &amp; closing meeting of workshops?</t>
  </si>
  <si>
    <t>Needs Improvement</t>
  </si>
  <si>
    <t>Good</t>
  </si>
  <si>
    <t>Does top management actively communicate the importance of Time &amp; Motion Studies to the organization?</t>
  </si>
  <si>
    <t>Unsatisfactory</t>
  </si>
  <si>
    <t>Very Good</t>
  </si>
  <si>
    <t>Does Top Management give workshop feedback on time to Quality?</t>
  </si>
  <si>
    <t>Disappointing</t>
  </si>
  <si>
    <t>Total</t>
  </si>
  <si>
    <t>Maximum Score</t>
  </si>
  <si>
    <t>Departmental Heads' Commitment</t>
  </si>
  <si>
    <t>Rate the Departmental Head's accessibility and provision of necessary data on time</t>
  </si>
  <si>
    <t>The Departmental Head's involvement in addressing challenges related to data availability ?</t>
  </si>
  <si>
    <t>The Departmental Head's support for trying new ways of collecting and analyzing data.</t>
  </si>
  <si>
    <t>The Departmental Head's support in identifying and addressing gaps in data availability</t>
  </si>
  <si>
    <t>Managerial Team</t>
  </si>
  <si>
    <t>Are team members available full time to drive projects during workshop?</t>
  </si>
  <si>
    <t>How committed is the project team to for process improvement?</t>
  </si>
  <si>
    <t>Rate the White Collar Team's proactiveness in seeking additional data or information related to their tasks.</t>
  </si>
  <si>
    <t>Managerial Team's Commitment</t>
  </si>
  <si>
    <t>Administrative Support</t>
  </si>
  <si>
    <t>Are travel arrangements have been done in convenient manner?</t>
  </si>
  <si>
    <t>Does client team is supporting Faber Travel desk on time?</t>
  </si>
  <si>
    <t>Is dedicated workstation has been given to consulting team?</t>
  </si>
  <si>
    <t>Has the team been provided with necessary supplies and internet access?</t>
  </si>
  <si>
    <t>Is accommodation arrangement done properly?</t>
  </si>
  <si>
    <t>TOTAL MARKS ACHIEVED</t>
  </si>
  <si>
    <t xml:space="preserve">TOTAL MARKS </t>
  </si>
  <si>
    <t>COMMITMENT SCORE</t>
  </si>
  <si>
    <t>Interpretation</t>
  </si>
  <si>
    <t>Follows rigorously as well as give additional contribution</t>
  </si>
  <si>
    <t>Follows rigorously every time</t>
  </si>
  <si>
    <t>Follows but not rigorous, intermittent deterioration</t>
  </si>
  <si>
    <t>Needs continuous follow-up from consultants</t>
  </si>
  <si>
    <t>No involvement &amp; No contribution, Reluctant to change</t>
  </si>
  <si>
    <t>ABC</t>
  </si>
  <si>
    <t>PQR</t>
  </si>
  <si>
    <t>01-Feb-2023 to 08-Feb-2023</t>
  </si>
  <si>
    <t>Steering Committee Commitment</t>
  </si>
  <si>
    <t xml:space="preserve">Project Team Commitment </t>
  </si>
  <si>
    <t>Employee Morale</t>
  </si>
  <si>
    <t>Alpla India Pvt Ltd (Silvassa)</t>
  </si>
  <si>
    <t>Mr. Nikhil Harwalkar</t>
  </si>
  <si>
    <t>Mr. Nikhil Harwalkar and Mr. Yash Kandi</t>
  </si>
  <si>
    <t>21st Jul 2024 to 9th Aug 2025</t>
  </si>
  <si>
    <t>The Departmental Head's support for trying new ways of collecting and analysing data.</t>
  </si>
  <si>
    <t>iD Fresh Food India Pvt Ltd</t>
  </si>
  <si>
    <t>Mr. Basavaraj Gudi</t>
  </si>
  <si>
    <t>15th to 27th Dec 2025</t>
  </si>
  <si>
    <t>Is client team supporting Faber Travel desk on time?</t>
  </si>
  <si>
    <t>Is dedicated workstation given to consulting team?</t>
  </si>
  <si>
    <t>Are travel arrangements done in convenient manner?</t>
  </si>
  <si>
    <t>How committed is the project team towards process improvement?</t>
  </si>
  <si>
    <t>The Departmental Head's involvement in addressing challenges related to data availability?</t>
  </si>
  <si>
    <t>Does Top Management review project with consultants?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</si>
</sst>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B05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CF4FA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9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vertical="center"/>
    </xf>
    <xf numFmtId="0" fontId="6" fillId="4" borderId="18" xfId="0" applyFont="1" applyFill="1" applyBorder="1" applyAlignment="1">
      <alignment horizontal="left" vertical="center" indent="1"/>
    </xf>
    <xf numFmtId="0" fontId="5" fillId="4" borderId="4" xfId="0" applyFont="1" applyFill="1" applyBorder="1" applyAlignment="1">
      <alignment horizontal="left" vertical="center" indent="1"/>
    </xf>
    <xf numFmtId="164" fontId="5" fillId="4" borderId="19" xfId="0" applyNumberFormat="1" applyFont="1" applyFill="1" applyBorder="1" applyAlignment="1">
      <alignment horizontal="left" vertical="center" indent="1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/>
    </xf>
    <xf numFmtId="0" fontId="6" fillId="3" borderId="34" xfId="0" applyFont="1" applyFill="1" applyBorder="1" applyAlignment="1">
      <alignment vertical="center" wrapText="1"/>
    </xf>
    <xf numFmtId="0" fontId="6" fillId="3" borderId="35" xfId="0" applyFont="1" applyFill="1" applyBorder="1" applyAlignment="1">
      <alignment vertical="center" wrapText="1"/>
    </xf>
    <xf numFmtId="17" fontId="6" fillId="3" borderId="31" xfId="0" applyNumberFormat="1" applyFont="1" applyFill="1" applyBorder="1" applyAlignment="1">
      <alignment horizontal="center" vertical="center"/>
    </xf>
    <xf numFmtId="0" fontId="5" fillId="10" borderId="37" xfId="0" applyFont="1" applyFill="1" applyBorder="1" applyAlignment="1">
      <alignment horizontal="center" vertical="center" wrapText="1"/>
    </xf>
    <xf numFmtId="0" fontId="9" fillId="3" borderId="37" xfId="0" applyFont="1" applyFill="1" applyBorder="1" applyAlignment="1">
      <alignment horizontal="center" vertical="center"/>
    </xf>
    <xf numFmtId="9" fontId="9" fillId="3" borderId="38" xfId="1" applyFont="1" applyFill="1" applyBorder="1" applyAlignment="1">
      <alignment horizontal="center" vertical="center"/>
    </xf>
    <xf numFmtId="0" fontId="7" fillId="5" borderId="39" xfId="0" applyFont="1" applyFill="1" applyBorder="1" applyAlignment="1">
      <alignment horizontal="center" vertical="center"/>
    </xf>
    <xf numFmtId="0" fontId="7" fillId="5" borderId="37" xfId="0" applyFont="1" applyFill="1" applyBorder="1" applyAlignment="1">
      <alignment horizontal="center" vertical="center"/>
    </xf>
    <xf numFmtId="9" fontId="10" fillId="2" borderId="38" xfId="1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1" borderId="33" xfId="0" applyFont="1" applyFill="1" applyBorder="1" applyAlignment="1">
      <alignment vertical="center" wrapText="1"/>
    </xf>
    <xf numFmtId="0" fontId="5" fillId="11" borderId="34" xfId="0" applyFont="1" applyFill="1" applyBorder="1" applyAlignment="1">
      <alignment vertical="center" wrapText="1"/>
    </xf>
    <xf numFmtId="0" fontId="0" fillId="12" borderId="19" xfId="0" applyFill="1" applyBorder="1" applyAlignment="1">
      <alignment horizontal="center" vertical="center" wrapText="1"/>
    </xf>
    <xf numFmtId="0" fontId="3" fillId="11" borderId="40" xfId="0" applyFont="1" applyFill="1" applyBorder="1" applyAlignment="1">
      <alignment vertical="center"/>
    </xf>
    <xf numFmtId="0" fontId="3" fillId="11" borderId="0" xfId="0" applyFont="1" applyFill="1" applyAlignment="1">
      <alignment vertical="center"/>
    </xf>
    <xf numFmtId="0" fontId="3" fillId="11" borderId="9" xfId="0" applyFont="1" applyFill="1" applyBorder="1" applyAlignment="1">
      <alignment vertical="center"/>
    </xf>
    <xf numFmtId="0" fontId="8" fillId="0" borderId="0" xfId="0" applyFont="1"/>
    <xf numFmtId="9" fontId="8" fillId="0" borderId="0" xfId="1" applyFont="1" applyFill="1" applyBorder="1"/>
    <xf numFmtId="9" fontId="8" fillId="0" borderId="0" xfId="0" applyNumberFormat="1" applyFont="1"/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6" borderId="8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3" fillId="12" borderId="26" xfId="0" applyFont="1" applyFill="1" applyBorder="1" applyAlignment="1">
      <alignment horizontal="left" vertical="center" wrapText="1"/>
    </xf>
    <xf numFmtId="0" fontId="7" fillId="5" borderId="36" xfId="0" applyFont="1" applyFill="1" applyBorder="1" applyAlignment="1">
      <alignment horizontal="left" vertical="center"/>
    </xf>
    <xf numFmtId="0" fontId="7" fillId="5" borderId="34" xfId="0" applyFont="1" applyFill="1" applyBorder="1" applyAlignment="1">
      <alignment horizontal="left" vertical="center"/>
    </xf>
    <xf numFmtId="0" fontId="10" fillId="2" borderId="35" xfId="0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5" fillId="0" borderId="34" xfId="0" applyFont="1" applyBorder="1" applyAlignment="1">
      <alignment vertical="center" wrapText="1"/>
    </xf>
    <xf numFmtId="0" fontId="5" fillId="11" borderId="36" xfId="0" applyFont="1" applyFill="1" applyBorder="1" applyAlignment="1">
      <alignment vertical="center" wrapText="1"/>
    </xf>
    <xf numFmtId="0" fontId="9" fillId="3" borderId="49" xfId="0" applyFont="1" applyFill="1" applyBorder="1" applyAlignment="1">
      <alignment horizontal="center" vertical="center"/>
    </xf>
    <xf numFmtId="0" fontId="5" fillId="10" borderId="39" xfId="0" applyFont="1" applyFill="1" applyBorder="1" applyAlignment="1">
      <alignment horizontal="center" vertical="center" wrapText="1"/>
    </xf>
    <xf numFmtId="0" fontId="5" fillId="10" borderId="5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13" borderId="28" xfId="0" applyFont="1" applyFill="1" applyBorder="1" applyAlignment="1">
      <alignment horizontal="center" vertical="center"/>
    </xf>
    <xf numFmtId="9" fontId="5" fillId="0" borderId="44" xfId="0" applyNumberFormat="1" applyFont="1" applyBorder="1" applyAlignment="1">
      <alignment horizontal="center" vertical="center"/>
    </xf>
    <xf numFmtId="9" fontId="5" fillId="0" borderId="3" xfId="0" applyNumberFormat="1" applyFont="1" applyBorder="1" applyAlignment="1">
      <alignment horizontal="center" vertical="center"/>
    </xf>
    <xf numFmtId="9" fontId="5" fillId="0" borderId="45" xfId="0" applyNumberFormat="1" applyFont="1" applyBorder="1" applyAlignment="1">
      <alignment horizontal="center" vertical="center"/>
    </xf>
    <xf numFmtId="9" fontId="6" fillId="3" borderId="28" xfId="0" applyNumberFormat="1" applyFont="1" applyFill="1" applyBorder="1" applyAlignment="1">
      <alignment horizontal="center" vertical="center"/>
    </xf>
    <xf numFmtId="9" fontId="6" fillId="3" borderId="49" xfId="0" applyNumberFormat="1" applyFont="1" applyFill="1" applyBorder="1" applyAlignment="1">
      <alignment horizontal="center" vertical="center"/>
    </xf>
    <xf numFmtId="9" fontId="6" fillId="3" borderId="47" xfId="0" applyNumberFormat="1" applyFont="1" applyFill="1" applyBorder="1" applyAlignment="1">
      <alignment horizontal="center" vertical="center"/>
    </xf>
    <xf numFmtId="9" fontId="6" fillId="14" borderId="31" xfId="0" applyNumberFormat="1" applyFont="1" applyFill="1" applyBorder="1" applyAlignment="1">
      <alignment horizontal="center" vertical="center"/>
    </xf>
    <xf numFmtId="0" fontId="6" fillId="11" borderId="40" xfId="0" applyFont="1" applyFill="1" applyBorder="1" applyAlignment="1">
      <alignment vertical="center"/>
    </xf>
    <xf numFmtId="0" fontId="6" fillId="11" borderId="0" xfId="0" applyFont="1" applyFill="1" applyAlignment="1">
      <alignment vertical="center"/>
    </xf>
    <xf numFmtId="0" fontId="6" fillId="6" borderId="8" xfId="0" applyFont="1" applyFill="1" applyBorder="1" applyAlignment="1">
      <alignment horizontal="left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6" fillId="12" borderId="16" xfId="0" applyFont="1" applyFill="1" applyBorder="1" applyAlignment="1">
      <alignment horizontal="left" vertical="center" wrapText="1"/>
    </xf>
    <xf numFmtId="0" fontId="5" fillId="12" borderId="51" xfId="0" applyFont="1" applyFill="1" applyBorder="1" applyAlignment="1">
      <alignment horizontal="center" vertical="center" wrapText="1"/>
    </xf>
    <xf numFmtId="0" fontId="6" fillId="11" borderId="11" xfId="0" applyFont="1" applyFill="1" applyBorder="1" applyAlignment="1">
      <alignment vertical="center"/>
    </xf>
    <xf numFmtId="0" fontId="10" fillId="5" borderId="36" xfId="0" applyFont="1" applyFill="1" applyBorder="1" applyAlignment="1">
      <alignment horizontal="left" vertical="center"/>
    </xf>
    <xf numFmtId="0" fontId="10" fillId="5" borderId="39" xfId="0" applyFont="1" applyFill="1" applyBorder="1" applyAlignment="1">
      <alignment horizontal="center" vertical="center"/>
    </xf>
    <xf numFmtId="0" fontId="10" fillId="5" borderId="34" xfId="0" applyFont="1" applyFill="1" applyBorder="1" applyAlignment="1">
      <alignment horizontal="left" vertical="center"/>
    </xf>
    <xf numFmtId="0" fontId="10" fillId="5" borderId="37" xfId="0" applyFont="1" applyFill="1" applyBorder="1" applyAlignment="1">
      <alignment horizontal="center" vertical="center"/>
    </xf>
    <xf numFmtId="0" fontId="6" fillId="11" borderId="14" xfId="0" applyFont="1" applyFill="1" applyBorder="1" applyAlignment="1">
      <alignment vertical="center"/>
    </xf>
    <xf numFmtId="0" fontId="5" fillId="6" borderId="33" xfId="0" applyFont="1" applyFill="1" applyBorder="1" applyAlignment="1">
      <alignment horizontal="center" vertical="center" wrapText="1"/>
    </xf>
    <xf numFmtId="0" fontId="5" fillId="0" borderId="39" xfId="0" applyFont="1" applyBorder="1" applyAlignment="1">
      <alignment vertical="center"/>
    </xf>
    <xf numFmtId="0" fontId="5" fillId="7" borderId="34" xfId="0" applyFont="1" applyFill="1" applyBorder="1" applyAlignment="1">
      <alignment horizontal="center" vertical="center" wrapText="1"/>
    </xf>
    <xf numFmtId="0" fontId="5" fillId="0" borderId="37" xfId="0" applyFont="1" applyBorder="1" applyAlignment="1">
      <alignment vertical="center"/>
    </xf>
    <xf numFmtId="0" fontId="5" fillId="8" borderId="34" xfId="0" applyFont="1" applyFill="1" applyBorder="1" applyAlignment="1">
      <alignment horizontal="center" vertical="center" wrapText="1"/>
    </xf>
    <xf numFmtId="0" fontId="5" fillId="9" borderId="34" xfId="0" applyFont="1" applyFill="1" applyBorder="1" applyAlignment="1">
      <alignment horizontal="center" vertical="center" wrapText="1"/>
    </xf>
    <xf numFmtId="0" fontId="6" fillId="12" borderId="26" xfId="0" applyFont="1" applyFill="1" applyBorder="1" applyAlignment="1">
      <alignment horizontal="left" vertical="center" wrapText="1"/>
    </xf>
    <xf numFmtId="0" fontId="5" fillId="12" borderId="35" xfId="0" applyFont="1" applyFill="1" applyBorder="1" applyAlignment="1">
      <alignment horizontal="center" vertical="center" wrapText="1"/>
    </xf>
    <xf numFmtId="0" fontId="5" fillId="0" borderId="38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16" borderId="47" xfId="0" applyFill="1" applyBorder="1" applyAlignment="1">
      <alignment horizontal="center" vertical="center"/>
    </xf>
    <xf numFmtId="0" fontId="0" fillId="16" borderId="48" xfId="0" applyFill="1" applyBorder="1" applyAlignment="1">
      <alignment horizontal="center" vertical="center"/>
    </xf>
    <xf numFmtId="0" fontId="15" fillId="5" borderId="21" xfId="0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0" fontId="16" fillId="15" borderId="47" xfId="0" applyFont="1" applyFill="1" applyBorder="1" applyAlignment="1">
      <alignment horizontal="center" vertical="center"/>
    </xf>
    <xf numFmtId="0" fontId="16" fillId="15" borderId="48" xfId="0" applyFont="1" applyFill="1" applyBorder="1" applyAlignment="1">
      <alignment horizontal="center" vertical="center"/>
    </xf>
    <xf numFmtId="0" fontId="6" fillId="13" borderId="27" xfId="0" applyFont="1" applyFill="1" applyBorder="1" applyAlignment="1">
      <alignment horizontal="center" vertical="center"/>
    </xf>
    <xf numFmtId="0" fontId="6" fillId="13" borderId="2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45" xfId="0" applyFont="1" applyBorder="1" applyAlignment="1">
      <alignment horizontal="left" vertical="center"/>
    </xf>
    <xf numFmtId="0" fontId="6" fillId="3" borderId="27" xfId="0" applyFont="1" applyFill="1" applyBorder="1" applyAlignment="1">
      <alignment horizontal="left" vertical="center"/>
    </xf>
    <xf numFmtId="0" fontId="6" fillId="3" borderId="28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40" xfId="0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1" borderId="14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0" fillId="16" borderId="46" xfId="0" applyFill="1" applyBorder="1" applyAlignment="1">
      <alignment horizontal="center" vertical="center"/>
    </xf>
    <xf numFmtId="0" fontId="20" fillId="2" borderId="21" xfId="0" applyFont="1" applyFill="1" applyBorder="1" applyAlignment="1">
      <alignment horizontal="center" vertical="center"/>
    </xf>
    <xf numFmtId="0" fontId="20" fillId="2" borderId="22" xfId="0" applyFont="1" applyFill="1" applyBorder="1" applyAlignment="1">
      <alignment horizontal="center" vertical="center"/>
    </xf>
    <xf numFmtId="0" fontId="20" fillId="2" borderId="40" xfId="0" applyFont="1" applyFill="1" applyBorder="1" applyAlignment="1">
      <alignment horizontal="center" vertical="center"/>
    </xf>
    <xf numFmtId="0" fontId="20" fillId="2" borderId="41" xfId="0" applyFont="1" applyFill="1" applyBorder="1" applyAlignment="1">
      <alignment horizontal="center" vertical="center"/>
    </xf>
    <xf numFmtId="0" fontId="6" fillId="11" borderId="42" xfId="0" applyFont="1" applyFill="1" applyBorder="1" applyAlignment="1">
      <alignment horizontal="left" vertical="center"/>
    </xf>
    <xf numFmtId="0" fontId="6" fillId="11" borderId="43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6" fillId="11" borderId="2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6" fillId="11" borderId="26" xfId="0" applyFont="1" applyFill="1" applyBorder="1" applyAlignment="1">
      <alignment horizontal="left" vertical="center"/>
    </xf>
    <xf numFmtId="0" fontId="6" fillId="11" borderId="7" xfId="0" applyFont="1" applyFill="1" applyBorder="1" applyAlignment="1">
      <alignment horizontal="left" vertical="center"/>
    </xf>
    <xf numFmtId="0" fontId="5" fillId="4" borderId="34" xfId="0" applyFont="1" applyFill="1" applyBorder="1" applyAlignment="1">
      <alignment horizontal="left" vertical="center"/>
    </xf>
    <xf numFmtId="0" fontId="5" fillId="4" borderId="60" xfId="0" applyFont="1" applyFill="1" applyBorder="1" applyAlignment="1">
      <alignment horizontal="left" vertical="center"/>
    </xf>
    <xf numFmtId="0" fontId="5" fillId="4" borderId="59" xfId="0" applyFont="1" applyFill="1" applyBorder="1" applyAlignment="1">
      <alignment horizontal="left" vertical="center"/>
    </xf>
    <xf numFmtId="0" fontId="5" fillId="11" borderId="16" xfId="0" applyFont="1" applyFill="1" applyBorder="1" applyAlignment="1">
      <alignment horizontal="center" vertical="center"/>
    </xf>
    <xf numFmtId="0" fontId="5" fillId="11" borderId="17" xfId="0" applyFont="1" applyFill="1" applyBorder="1" applyAlignment="1">
      <alignment horizontal="center" vertical="center"/>
    </xf>
    <xf numFmtId="0" fontId="5" fillId="11" borderId="29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3" fillId="5" borderId="14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6" fillId="11" borderId="50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6" fillId="11" borderId="30" xfId="0" applyFont="1" applyFill="1" applyBorder="1" applyAlignment="1">
      <alignment horizontal="center" vertical="center" wrapText="1"/>
    </xf>
    <xf numFmtId="0" fontId="5" fillId="11" borderId="54" xfId="0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/>
    </xf>
    <xf numFmtId="0" fontId="5" fillId="10" borderId="46" xfId="0" applyFont="1" applyFill="1" applyBorder="1" applyAlignment="1">
      <alignment horizontal="center" vertical="center" wrapText="1"/>
    </xf>
    <xf numFmtId="0" fontId="5" fillId="10" borderId="49" xfId="0" applyFont="1" applyFill="1" applyBorder="1" applyAlignment="1">
      <alignment horizontal="center" vertical="center" wrapText="1"/>
    </xf>
    <xf numFmtId="0" fontId="5" fillId="11" borderId="51" xfId="0" applyFont="1" applyFill="1" applyBorder="1" applyAlignment="1">
      <alignment horizontal="left" vertical="center" wrapText="1"/>
    </xf>
    <xf numFmtId="0" fontId="5" fillId="11" borderId="52" xfId="0" applyFont="1" applyFill="1" applyBorder="1" applyAlignment="1">
      <alignment horizontal="left" vertical="center" wrapText="1"/>
    </xf>
    <xf numFmtId="0" fontId="5" fillId="11" borderId="20" xfId="0" applyFont="1" applyFill="1" applyBorder="1" applyAlignment="1">
      <alignment horizontal="left" vertical="center" wrapText="1"/>
    </xf>
    <xf numFmtId="0" fontId="5" fillId="10" borderId="53" xfId="0" applyFont="1" applyFill="1" applyBorder="1" applyAlignment="1">
      <alignment horizontal="center" vertical="center" wrapText="1"/>
    </xf>
    <xf numFmtId="0" fontId="5" fillId="10" borderId="47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/>
    </xf>
    <xf numFmtId="0" fontId="5" fillId="11" borderId="55" xfId="0" applyFont="1" applyFill="1" applyBorder="1" applyAlignment="1">
      <alignment horizontal="left" vertical="center" wrapText="1"/>
    </xf>
    <xf numFmtId="0" fontId="20" fillId="2" borderId="23" xfId="0" applyFont="1" applyFill="1" applyBorder="1" applyAlignment="1">
      <alignment horizontal="center" vertical="center"/>
    </xf>
    <xf numFmtId="0" fontId="6" fillId="11" borderId="24" xfId="0" applyFont="1" applyFill="1" applyBorder="1" applyAlignment="1">
      <alignment horizontal="left" vertical="center"/>
    </xf>
    <xf numFmtId="0" fontId="6" fillId="11" borderId="25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40" xfId="0" applyFont="1" applyFill="1" applyBorder="1" applyAlignment="1">
      <alignment horizontal="center" vertical="center"/>
    </xf>
    <xf numFmtId="0" fontId="5" fillId="11" borderId="41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5" fillId="11" borderId="14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40" xfId="0" applyFill="1" applyBorder="1" applyAlignment="1">
      <alignment horizontal="center" vertical="center"/>
    </xf>
    <xf numFmtId="0" fontId="0" fillId="11" borderId="41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5" fillId="11" borderId="40" xfId="0" applyFont="1" applyFill="1" applyBorder="1" applyAlignment="1">
      <alignment horizontal="center" vertical="center" wrapText="1"/>
    </xf>
    <xf numFmtId="0" fontId="5" fillId="11" borderId="41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11" borderId="10" xfId="0" applyFont="1" applyFill="1" applyBorder="1" applyAlignment="1">
      <alignment horizontal="center" vertical="center" wrapText="1"/>
    </xf>
    <xf numFmtId="0" fontId="6" fillId="11" borderId="58" xfId="0" applyFont="1" applyFill="1" applyBorder="1" applyAlignment="1">
      <alignment horizontal="left" vertical="center"/>
    </xf>
    <xf numFmtId="0" fontId="6" fillId="11" borderId="59" xfId="0" applyFont="1" applyFill="1" applyBorder="1" applyAlignment="1">
      <alignment horizontal="left" vertical="center"/>
    </xf>
    <xf numFmtId="0" fontId="6" fillId="11" borderId="56" xfId="0" applyFont="1" applyFill="1" applyBorder="1" applyAlignment="1">
      <alignment horizontal="left" vertical="center"/>
    </xf>
    <xf numFmtId="0" fontId="6" fillId="11" borderId="57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4" fillId="11" borderId="24" xfId="0" applyFont="1" applyFill="1" applyBorder="1" applyAlignment="1">
      <alignment horizontal="left" vertical="center"/>
    </xf>
    <xf numFmtId="0" fontId="14" fillId="11" borderId="25" xfId="0" applyFont="1" applyFill="1" applyBorder="1" applyAlignment="1">
      <alignment horizontal="left" vertical="center"/>
    </xf>
    <xf numFmtId="0" fontId="14" fillId="11" borderId="2" xfId="0" applyFont="1" applyFill="1" applyBorder="1" applyAlignment="1">
      <alignment horizontal="left" vertical="center"/>
    </xf>
    <xf numFmtId="0" fontId="14" fillId="11" borderId="3" xfId="0" applyFont="1" applyFill="1" applyBorder="1" applyAlignment="1">
      <alignment horizontal="left" vertical="center"/>
    </xf>
    <xf numFmtId="0" fontId="14" fillId="11" borderId="26" xfId="0" applyFont="1" applyFill="1" applyBorder="1" applyAlignment="1">
      <alignment horizontal="left" vertical="center"/>
    </xf>
    <xf numFmtId="0" fontId="14" fillId="11" borderId="7" xfId="0" applyFon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162"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7C8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7C8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7C8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7C8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7C8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7C8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7C8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7C8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7C8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7C8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7C8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7C8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7C8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7C8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7C8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7C8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7C8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7C8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7C8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7C8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7C8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7C8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7C8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7C8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7C8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7C8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colors>
    <mruColors>
      <color rgb="FFECF4FA"/>
      <color rgb="FFFF6969"/>
      <color rgb="FFFFFF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/>
              <a:t>Category wise - Client Commitment Tracker</a:t>
            </a:r>
          </a:p>
        </c:rich>
      </c:tx>
      <c:layout>
        <c:manualLayout>
          <c:xMode val="edge"/>
          <c:yMode val="edge"/>
          <c:x val="0.29319817000693771"/>
          <c:y val="8.9393874613422216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027322404371584E-2"/>
          <c:y val="9.4215585674177302E-2"/>
          <c:w val="0.9699453551912568"/>
          <c:h val="0.6602085025724343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Summary!$A$8</c:f>
              <c:strCache>
                <c:ptCount val="1"/>
                <c:pt idx="0">
                  <c:v>Top Management Commitment</c:v>
                </c:pt>
              </c:strCache>
            </c:strRef>
          </c:tx>
          <c:spPr>
            <a:solidFill>
              <a:srgbClr val="002060"/>
            </a:solidFill>
            <a:ln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Summary!$C$7:$F$7</c:f>
              <c:strCache>
                <c:ptCount val="4"/>
                <c:pt idx="0">
                  <c:v>WS 1</c:v>
                </c:pt>
                <c:pt idx="1">
                  <c:v>WS 2</c:v>
                </c:pt>
                <c:pt idx="2">
                  <c:v>WS 3</c:v>
                </c:pt>
                <c:pt idx="3">
                  <c:v>WS 4</c:v>
                </c:pt>
              </c:strCache>
            </c:strRef>
          </c:cat>
          <c:val>
            <c:numRef>
              <c:f>Summary!$C$8:$F$8</c:f>
              <c:numCache>
                <c:formatCode>0%</c:formatCode>
                <c:ptCount val="4"/>
                <c:pt idx="0">
                  <c:v>0.76</c:v>
                </c:pt>
                <c:pt idx="1">
                  <c:v>0.88</c:v>
                </c:pt>
                <c:pt idx="2">
                  <c:v>0.88</c:v>
                </c:pt>
                <c:pt idx="3">
                  <c:v>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9E-4DF3-B939-CAC37EF5B9F4}"/>
            </c:ext>
          </c:extLst>
        </c:ser>
        <c:ser>
          <c:idx val="1"/>
          <c:order val="1"/>
          <c:tx>
            <c:strRef>
              <c:f>Summary!$A$9</c:f>
              <c:strCache>
                <c:ptCount val="1"/>
                <c:pt idx="0">
                  <c:v>Departmental Heads' Commitment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Summary!$C$7:$F$7</c:f>
              <c:strCache>
                <c:ptCount val="4"/>
                <c:pt idx="0">
                  <c:v>WS 1</c:v>
                </c:pt>
                <c:pt idx="1">
                  <c:v>WS 2</c:v>
                </c:pt>
                <c:pt idx="2">
                  <c:v>WS 3</c:v>
                </c:pt>
                <c:pt idx="3">
                  <c:v>WS 4</c:v>
                </c:pt>
              </c:strCache>
            </c:strRef>
          </c:cat>
          <c:val>
            <c:numRef>
              <c:f>Summary!$C$9:$F$9</c:f>
              <c:numCache>
                <c:formatCode>0%</c:formatCode>
                <c:ptCount val="4"/>
                <c:pt idx="0">
                  <c:v>0.75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9E-4DF3-B939-CAC37EF5B9F4}"/>
            </c:ext>
          </c:extLst>
        </c:ser>
        <c:ser>
          <c:idx val="2"/>
          <c:order val="2"/>
          <c:tx>
            <c:strRef>
              <c:f>Summary!$A$10</c:f>
              <c:strCache>
                <c:ptCount val="1"/>
                <c:pt idx="0">
                  <c:v>Managerial Team's Commitment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Summary!$C$7:$F$7</c:f>
              <c:strCache>
                <c:ptCount val="4"/>
                <c:pt idx="0">
                  <c:v>WS 1</c:v>
                </c:pt>
                <c:pt idx="1">
                  <c:v>WS 2</c:v>
                </c:pt>
                <c:pt idx="2">
                  <c:v>WS 3</c:v>
                </c:pt>
                <c:pt idx="3">
                  <c:v>WS 4</c:v>
                </c:pt>
              </c:strCache>
            </c:strRef>
          </c:cat>
          <c:val>
            <c:numRef>
              <c:f>Summary!$C$10:$F$10</c:f>
              <c:numCache>
                <c:formatCode>0%</c:formatCode>
                <c:ptCount val="4"/>
                <c:pt idx="0">
                  <c:v>0.8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9E-4DF3-B939-CAC37EF5B9F4}"/>
            </c:ext>
          </c:extLst>
        </c:ser>
        <c:ser>
          <c:idx val="4"/>
          <c:order val="3"/>
          <c:tx>
            <c:strRef>
              <c:f>Summary!$A$11</c:f>
              <c:strCache>
                <c:ptCount val="1"/>
                <c:pt idx="0">
                  <c:v>Administrative support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Summary!$C$7:$F$7</c:f>
              <c:strCache>
                <c:ptCount val="4"/>
                <c:pt idx="0">
                  <c:v>WS 1</c:v>
                </c:pt>
                <c:pt idx="1">
                  <c:v>WS 2</c:v>
                </c:pt>
                <c:pt idx="2">
                  <c:v>WS 3</c:v>
                </c:pt>
                <c:pt idx="3">
                  <c:v>WS 4</c:v>
                </c:pt>
              </c:strCache>
            </c:strRef>
          </c:cat>
          <c:val>
            <c:numRef>
              <c:f>Summary!$C$11:$F$11</c:f>
              <c:numCache>
                <c:formatCode>0%</c:formatCode>
                <c:ptCount val="4"/>
                <c:pt idx="0">
                  <c:v>0.68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9E-4DF3-B939-CAC37EF5B9F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064852944"/>
        <c:axId val="1064847504"/>
      </c:barChart>
      <c:catAx>
        <c:axId val="106485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847504"/>
        <c:crosses val="autoZero"/>
        <c:auto val="1"/>
        <c:lblAlgn val="ctr"/>
        <c:lblOffset val="100"/>
        <c:noMultiLvlLbl val="0"/>
      </c:catAx>
      <c:valAx>
        <c:axId val="1064847504"/>
        <c:scaling>
          <c:orientation val="minMax"/>
          <c:max val="5"/>
          <c:min val="0"/>
        </c:scaling>
        <c:delete val="1"/>
        <c:axPos val="l"/>
        <c:numFmt formatCode="0%" sourceLinked="1"/>
        <c:majorTickMark val="out"/>
        <c:minorTickMark val="none"/>
        <c:tickLblPos val="nextTo"/>
        <c:crossAx val="106485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5961886464746441E-2"/>
          <c:y val="0.88741538044949908"/>
          <c:w val="0.90614525772078858"/>
          <c:h val="0.107431556144626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</a:rPr>
              <a:t>Workshop wise - Client Commitment Score</a:t>
            </a:r>
          </a:p>
        </c:rich>
      </c:tx>
      <c:layout>
        <c:manualLayout>
          <c:xMode val="edge"/>
          <c:yMode val="edge"/>
          <c:x val="5.7757878868263911E-3"/>
          <c:y val="1.41111111111111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064365927143249E-2"/>
          <c:y val="0.20808297567954223"/>
          <c:w val="0.96987126814571345"/>
          <c:h val="0.62597805639101978"/>
        </c:manualLayout>
      </c:layout>
      <c:lineChart>
        <c:grouping val="standard"/>
        <c:varyColors val="0"/>
        <c:ser>
          <c:idx val="0"/>
          <c:order val="0"/>
          <c:tx>
            <c:strRef>
              <c:f>Summary!$A$12</c:f>
              <c:strCache>
                <c:ptCount val="1"/>
                <c:pt idx="0">
                  <c:v>Client Commitment Score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Summary!$C$7:$F$7</c:f>
              <c:strCache>
                <c:ptCount val="4"/>
                <c:pt idx="0">
                  <c:v>WS 1</c:v>
                </c:pt>
                <c:pt idx="1">
                  <c:v>WS 2</c:v>
                </c:pt>
                <c:pt idx="2">
                  <c:v>WS 3</c:v>
                </c:pt>
                <c:pt idx="3">
                  <c:v>WS 4</c:v>
                </c:pt>
              </c:strCache>
            </c:strRef>
          </c:cat>
          <c:val>
            <c:numRef>
              <c:f>Summary!$C$12:$F$12</c:f>
              <c:numCache>
                <c:formatCode>0%</c:formatCode>
                <c:ptCount val="4"/>
                <c:pt idx="0">
                  <c:v>0.74117647058823533</c:v>
                </c:pt>
                <c:pt idx="1">
                  <c:v>0.84705882352941175</c:v>
                </c:pt>
                <c:pt idx="2">
                  <c:v>0.84705882352941175</c:v>
                </c:pt>
                <c:pt idx="3">
                  <c:v>0.84705882352941175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6E5-40A3-9C64-4B0CA021A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100000">
                    <a:schemeClr val="accent1">
                      <a:lumMod val="5000"/>
                      <a:lumOff val="95000"/>
                    </a:schemeClr>
                  </a:gs>
                  <a:gs pos="0">
                    <a:schemeClr val="accent5">
                      <a:lumMod val="75000"/>
                    </a:schemeClr>
                  </a:gs>
                </a:gsLst>
                <a:lin ang="5400000" scaled="1"/>
              </a:gradFill>
              <a:round/>
            </a:ln>
            <a:effectLst/>
          </c:spPr>
        </c:dropLines>
        <c:marker val="1"/>
        <c:smooth val="0"/>
        <c:axId val="1064853488"/>
        <c:axId val="1064845328"/>
      </c:lineChart>
      <c:catAx>
        <c:axId val="106485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845328"/>
        <c:crosses val="autoZero"/>
        <c:auto val="1"/>
        <c:lblAlgn val="ctr"/>
        <c:lblOffset val="100"/>
        <c:noMultiLvlLbl val="0"/>
      </c:catAx>
      <c:valAx>
        <c:axId val="1064845328"/>
        <c:scaling>
          <c:orientation val="minMax"/>
          <c:max val="1"/>
        </c:scaling>
        <c:delete val="1"/>
        <c:axPos val="l"/>
        <c:numFmt formatCode="0%" sourceLinked="1"/>
        <c:majorTickMark val="none"/>
        <c:minorTickMark val="none"/>
        <c:tickLblPos val="nextTo"/>
        <c:crossAx val="1064853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effectLst>
              <a:softEdge rad="0"/>
            </a:effectLst>
            <a:scene3d>
              <a:camera prst="orthographicFront"/>
              <a:lightRig rig="threePt" dir="t"/>
            </a:scene3d>
            <a:sp3d>
              <a:bevelT w="31750"/>
              <a:bevelB w="19050"/>
            </a:sp3d>
          </c:spPr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1-3B15-40CC-BDCC-4D1ECA6F27E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3-3B15-40CC-BDCC-4D1ECA6F27E1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5-3B15-40CC-BDCC-4D1ECA6F27E1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7-3B15-40CC-BDCC-4D1ECA6F27E1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9-3B15-40CC-BDCC-4D1ECA6F27E1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B-3B15-40CC-BDCC-4D1ECA6F27E1}"/>
              </c:ext>
            </c:extLst>
          </c:dPt>
          <c:cat>
            <c:strRef>
              <c:f>'[1]WS 6'!$M$21:$M$26</c:f>
              <c:strCache>
                <c:ptCount val="6"/>
                <c:pt idx="0">
                  <c:v>Very Poor</c:v>
                </c:pt>
                <c:pt idx="1">
                  <c:v>Poor</c:v>
                </c:pt>
                <c:pt idx="2">
                  <c:v>Average</c:v>
                </c:pt>
                <c:pt idx="3">
                  <c:v>Good</c:v>
                </c:pt>
                <c:pt idx="4">
                  <c:v>Very Good</c:v>
                </c:pt>
                <c:pt idx="5">
                  <c:v>Remain</c:v>
                </c:pt>
              </c:strCache>
            </c:strRef>
          </c:cat>
          <c:val>
            <c:numRef>
              <c:f>'[1]WS 6'!$N$21:$N$26</c:f>
              <c:numCache>
                <c:formatCode>General</c:formatCode>
                <c:ptCount val="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B15-40CC-BDCC-4D1ECA6F2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38100"/>
              <a:bevelB w="31750"/>
            </a:sp3d>
          </c:spPr>
          <c:explosion val="3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8C4-466A-A701-5B604EA697A1}"/>
              </c:ext>
            </c:extLst>
          </c:dPt>
          <c:dPt>
            <c:idx val="1"/>
            <c:bubble3D val="0"/>
            <c:explosion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38100"/>
                <a:bevelB w="31750"/>
              </a:sp3d>
            </c:spPr>
            <c:extLst>
              <c:ext xmlns:c16="http://schemas.microsoft.com/office/drawing/2014/chart" uri="{C3380CC4-5D6E-409C-BE32-E72D297353CC}">
                <c16:uniqueId val="{00000003-F8C4-466A-A701-5B604EA697A1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8C4-466A-A701-5B604EA697A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C4-466A-A701-5B604EA697A1}"/>
                </c:ext>
              </c:extLst>
            </c:dLbl>
            <c:dLbl>
              <c:idx val="1"/>
              <c:layout>
                <c:manualLayout>
                  <c:x val="4.1116586128369319E-2"/>
                  <c:y val="-4.17431778670177E-2"/>
                </c:manualLayout>
              </c:layout>
              <c:tx>
                <c:strRef>
                  <c:f>Summary!$G$12</c:f>
                  <c:strCache>
                    <c:ptCount val="1"/>
                    <c:pt idx="0">
                      <c:v>82%</c:v>
                    </c:pt>
                  </c:strCache>
                </c:strRef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{33AE9FC2-BF7A-4E27-AE1B-94D9272A180B}</c15:txfldGUID>
                      <c15:f>Summary!$G$12</c15:f>
                      <c15:dlblFieldTableCache>
                        <c:ptCount val="1"/>
                        <c:pt idx="0">
                          <c:v>82%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F8C4-466A-A701-5B604EA697A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8C4-466A-A701-5B604EA697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'[1]WS 6'!$M$16:$M$18</c:f>
              <c:strCache>
                <c:ptCount val="3"/>
                <c:pt idx="0">
                  <c:v>Value</c:v>
                </c:pt>
                <c:pt idx="1">
                  <c:v>Point </c:v>
                </c:pt>
                <c:pt idx="2">
                  <c:v>Remain</c:v>
                </c:pt>
              </c:strCache>
            </c:strRef>
          </c:cat>
          <c:val>
            <c:numRef>
              <c:f>'[1]WS 6'!$N$16:$N$18</c:f>
              <c:numCache>
                <c:formatCode>General</c:formatCode>
                <c:ptCount val="3"/>
                <c:pt idx="0">
                  <c:v>0</c:v>
                </c:pt>
                <c:pt idx="1">
                  <c:v>0.02</c:v>
                </c:pt>
                <c:pt idx="2">
                  <c:v>1.98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C4-466A-A701-5B604EA69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2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7114267676767679"/>
          <c:y val="3.8527407407407406E-2"/>
          <c:w val="0.47006102693602692"/>
          <c:h val="0.92381518518518524"/>
        </c:manualLayout>
      </c:layout>
      <c:barChart>
        <c:barDir val="bar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Summary!$A$8:$A$11</c:f>
              <c:strCache>
                <c:ptCount val="4"/>
                <c:pt idx="0">
                  <c:v>Top Management Commitment</c:v>
                </c:pt>
                <c:pt idx="1">
                  <c:v>Departmental Heads' Commitment</c:v>
                </c:pt>
                <c:pt idx="2">
                  <c:v>Managerial Team's Commitment</c:v>
                </c:pt>
                <c:pt idx="3">
                  <c:v>Administrative support</c:v>
                </c:pt>
              </c:strCache>
            </c:strRef>
          </c:cat>
          <c:val>
            <c:numRef>
              <c:f>Summary!$B$8:$B$11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C5C0-4286-8270-BF53E080686D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Summary!$A$8:$A$11</c:f>
              <c:strCache>
                <c:ptCount val="4"/>
                <c:pt idx="0">
                  <c:v>Top Management Commitment</c:v>
                </c:pt>
                <c:pt idx="1">
                  <c:v>Departmental Heads' Commitment</c:v>
                </c:pt>
                <c:pt idx="2">
                  <c:v>Managerial Team's Commitment</c:v>
                </c:pt>
                <c:pt idx="3">
                  <c:v>Administrative support</c:v>
                </c:pt>
              </c:strCache>
            </c:strRef>
          </c:cat>
          <c:val>
            <c:numRef>
              <c:f>Summary!$G$8:$G$11</c:f>
              <c:numCache>
                <c:formatCode>0%</c:formatCode>
                <c:ptCount val="4"/>
                <c:pt idx="0">
                  <c:v>0.85</c:v>
                </c:pt>
                <c:pt idx="1">
                  <c:v>0.78750000000000009</c:v>
                </c:pt>
                <c:pt idx="2">
                  <c:v>0.65</c:v>
                </c:pt>
                <c:pt idx="3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C0-4286-8270-BF53E0806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9"/>
        <c:overlap val="100"/>
        <c:axId val="1064850768"/>
        <c:axId val="1064846416"/>
      </c:barChart>
      <c:catAx>
        <c:axId val="10648507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064846416"/>
        <c:crosses val="autoZero"/>
        <c:auto val="1"/>
        <c:lblAlgn val="ctr"/>
        <c:lblOffset val="100"/>
        <c:noMultiLvlLbl val="0"/>
      </c:catAx>
      <c:valAx>
        <c:axId val="1064846416"/>
        <c:scaling>
          <c:orientation val="minMax"/>
          <c:max val="1"/>
          <c:min val="0"/>
        </c:scaling>
        <c:delete val="1"/>
        <c:axPos val="t"/>
        <c:numFmt formatCode="General" sourceLinked="1"/>
        <c:majorTickMark val="out"/>
        <c:minorTickMark val="none"/>
        <c:tickLblPos val="nextTo"/>
        <c:crossAx val="106485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BF1-4BDC-AB57-BB060823FB5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EBF1-4BDC-AB57-BB060823FB5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EBF1-4BDC-AB57-BB060823FB5B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EBF1-4BDC-AB57-BB060823FB5B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EBF1-4BDC-AB57-BB060823F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4848048"/>
        <c:axId val="1064855664"/>
      </c:barChart>
      <c:catAx>
        <c:axId val="10648480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64855664"/>
        <c:crosses val="autoZero"/>
        <c:auto val="1"/>
        <c:lblAlgn val="ctr"/>
        <c:lblOffset val="100"/>
        <c:noMultiLvlLbl val="0"/>
      </c:catAx>
      <c:valAx>
        <c:axId val="1064855664"/>
        <c:scaling>
          <c:orientation val="minMax"/>
          <c:max val="20"/>
        </c:scaling>
        <c:delete val="1"/>
        <c:axPos val="l"/>
        <c:numFmt formatCode="General" sourceLinked="1"/>
        <c:majorTickMark val="none"/>
        <c:minorTickMark val="none"/>
        <c:tickLblPos val="nextTo"/>
        <c:crossAx val="106484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effectLst>
              <a:softEdge rad="0"/>
            </a:effectLst>
            <a:scene3d>
              <a:camera prst="orthographicFront"/>
              <a:lightRig rig="threePt" dir="t"/>
            </a:scene3d>
            <a:sp3d>
              <a:bevelT w="31750"/>
              <a:bevelB w="19050"/>
            </a:sp3d>
          </c:spPr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1-6259-4A06-A14D-69706F2C07E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3-6259-4A06-A14D-69706F2C07E6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5-6259-4A06-A14D-69706F2C07E6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7-6259-4A06-A14D-69706F2C07E6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9-6259-4A06-A14D-69706F2C07E6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B-6259-4A06-A14D-69706F2C07E6}"/>
              </c:ext>
            </c:extLst>
          </c:dPt>
          <c:cat>
            <c:strRef>
              <c:f>'T &amp; M (WS1)'!$M$21:$M$26</c:f>
              <c:strCache>
                <c:ptCount val="6"/>
                <c:pt idx="0">
                  <c:v>Very Poor</c:v>
                </c:pt>
                <c:pt idx="1">
                  <c:v>Poor</c:v>
                </c:pt>
                <c:pt idx="2">
                  <c:v>Average</c:v>
                </c:pt>
                <c:pt idx="3">
                  <c:v>Good</c:v>
                </c:pt>
                <c:pt idx="4">
                  <c:v>Very Good</c:v>
                </c:pt>
                <c:pt idx="5">
                  <c:v>Remain</c:v>
                </c:pt>
              </c:strCache>
            </c:strRef>
          </c:cat>
          <c:val>
            <c:numRef>
              <c:f>'T &amp; M (WS1)'!$N$21:$N$26</c:f>
              <c:numCache>
                <c:formatCode>General</c:formatCode>
                <c:ptCount val="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259-4A06-A14D-69706F2C0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38100"/>
              <a:bevelB w="31750"/>
            </a:sp3d>
          </c:spPr>
          <c:explosion val="3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104-4980-B354-1D0D7CB7106E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38100"/>
                <a:bevelB w="31750"/>
              </a:sp3d>
            </c:spPr>
            <c:extLst>
              <c:ext xmlns:c16="http://schemas.microsoft.com/office/drawing/2014/chart" uri="{C3380CC4-5D6E-409C-BE32-E72D297353CC}">
                <c16:uniqueId val="{00000003-9104-4980-B354-1D0D7CB7106E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104-4980-B354-1D0D7CB7106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04-4980-B354-1D0D7CB7106E}"/>
                </c:ext>
              </c:extLst>
            </c:dLbl>
            <c:dLbl>
              <c:idx val="1"/>
              <c:tx>
                <c:strRef>
                  <c:f>'T &amp; M (WS1)'!$N$16</c:f>
                  <c:strCache>
                    <c:ptCount val="1"/>
                    <c:pt idx="0">
                      <c:v>74%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{9F1E31CE-28F5-4C51-A4C2-72E26DA4D99B}</c15:txfldGUID>
                      <c15:f>'T &amp; M (WS1)'!$N$16</c15:f>
                      <c15:dlblFieldTableCache>
                        <c:ptCount val="1"/>
                        <c:pt idx="0">
                          <c:v>74%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9104-4980-B354-1D0D7CB7106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104-4980-B354-1D0D7CB710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 &amp; M (WS1)'!$M$16:$M$18</c:f>
              <c:strCache>
                <c:ptCount val="3"/>
                <c:pt idx="0">
                  <c:v>Value</c:v>
                </c:pt>
                <c:pt idx="1">
                  <c:v>Point </c:v>
                </c:pt>
                <c:pt idx="2">
                  <c:v>Remain</c:v>
                </c:pt>
              </c:strCache>
            </c:strRef>
          </c:cat>
          <c:val>
            <c:numRef>
              <c:f>'T &amp; M (WS1)'!$N$16:$N$18</c:f>
              <c:numCache>
                <c:formatCode>0%</c:formatCode>
                <c:ptCount val="3"/>
                <c:pt idx="0">
                  <c:v>0.74117647058823533</c:v>
                </c:pt>
                <c:pt idx="1">
                  <c:v>0.02</c:v>
                </c:pt>
                <c:pt idx="2">
                  <c:v>1.2388235294117647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04-4980-B354-1D0D7CB71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7022669463614355"/>
          <c:y val="2.6041666666666668E-2"/>
          <c:w val="0.60617828176883293"/>
          <c:h val="0.96875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rgbClr val="002060"/>
                </a:gs>
                <a:gs pos="48000">
                  <a:srgbClr val="0070C0"/>
                </a:gs>
                <a:gs pos="100000">
                  <a:srgbClr val="00B0F0"/>
                </a:gs>
              </a:gsLst>
              <a:lin ang="10800000" scaled="1"/>
              <a:tileRect/>
            </a:gradFill>
            <a:ln>
              <a:gradFill flip="none" rotWithShape="1">
                <a:gsLst>
                  <a:gs pos="0">
                    <a:schemeClr val="accent1">
                      <a:lumMod val="0"/>
                      <a:lumOff val="100000"/>
                    </a:schemeClr>
                  </a:gs>
                  <a:gs pos="33000">
                    <a:schemeClr val="accent1">
                      <a:lumMod val="0"/>
                      <a:lumOff val="100000"/>
                    </a:schemeClr>
                  </a:gs>
                  <a:gs pos="100000">
                    <a:schemeClr val="accent1">
                      <a:lumMod val="100000"/>
                    </a:schemeClr>
                  </a:gs>
                </a:gsLst>
                <a:lin ang="0" scaled="0"/>
                <a:tileRect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 &amp; M (WS1)'!$C$29,'T &amp; M (WS1)'!$C$37,'T &amp; M (WS1)'!$C$45,'T &amp; M (WS1)'!$C$53)</c:f>
              <c:strCache>
                <c:ptCount val="4"/>
                <c:pt idx="0">
                  <c:v>Top Management Commitment</c:v>
                </c:pt>
                <c:pt idx="1">
                  <c:v>Departmental Heads' Commitment</c:v>
                </c:pt>
                <c:pt idx="2">
                  <c:v>Managerial Team's Commitment</c:v>
                </c:pt>
                <c:pt idx="3">
                  <c:v>Administrative support</c:v>
                </c:pt>
              </c:strCache>
            </c:strRef>
          </c:cat>
          <c:val>
            <c:numRef>
              <c:f>('T &amp; M (WS1)'!$D$29,'T &amp; M (WS1)'!$D$37,'T &amp; M (WS1)'!$D$45,'T &amp; M (WS1)'!$D$53)</c:f>
              <c:numCache>
                <c:formatCode>0%</c:formatCode>
                <c:ptCount val="4"/>
                <c:pt idx="0">
                  <c:v>0.76</c:v>
                </c:pt>
                <c:pt idx="1">
                  <c:v>0.75</c:v>
                </c:pt>
                <c:pt idx="2">
                  <c:v>0.8</c:v>
                </c:pt>
                <c:pt idx="3">
                  <c:v>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C-4A76-A55C-1C78323EA0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064854032"/>
        <c:axId val="1064854576"/>
      </c:barChart>
      <c:catAx>
        <c:axId val="10648540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854576"/>
        <c:crosses val="autoZero"/>
        <c:auto val="1"/>
        <c:lblAlgn val="ctr"/>
        <c:lblOffset val="100"/>
        <c:noMultiLvlLbl val="0"/>
      </c:catAx>
      <c:valAx>
        <c:axId val="1064854576"/>
        <c:scaling>
          <c:orientation val="minMax"/>
          <c:max val="1"/>
        </c:scaling>
        <c:delete val="1"/>
        <c:axPos val="t"/>
        <c:numFmt formatCode="0%" sourceLinked="1"/>
        <c:majorTickMark val="out"/>
        <c:minorTickMark val="none"/>
        <c:tickLblPos val="nextTo"/>
        <c:crossAx val="106485403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 &amp; M (WS1)'!$M$21</c:f>
              <c:strCache>
                <c:ptCount val="1"/>
                <c:pt idx="0">
                  <c:v>Very Poor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'T &amp; M (WS1)'!$N$21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4-4DE2-9F5D-95B113F729B8}"/>
            </c:ext>
          </c:extLst>
        </c:ser>
        <c:ser>
          <c:idx val="1"/>
          <c:order val="1"/>
          <c:tx>
            <c:strRef>
              <c:f>'T &amp; M (WS1)'!$M$22</c:f>
              <c:strCache>
                <c:ptCount val="1"/>
                <c:pt idx="0">
                  <c:v>Poor</c:v>
                </c:pt>
              </c:strCache>
            </c:strRef>
          </c:tx>
          <c:spPr>
            <a:solidFill>
              <a:srgbClr val="FF6969"/>
            </a:solidFill>
            <a:ln>
              <a:noFill/>
            </a:ln>
            <a:effectLst/>
          </c:spPr>
          <c:invertIfNegative val="0"/>
          <c:val>
            <c:numRef>
              <c:f>'T &amp; M (WS1)'!$N$22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84-4DE2-9F5D-95B113F729B8}"/>
            </c:ext>
          </c:extLst>
        </c:ser>
        <c:ser>
          <c:idx val="2"/>
          <c:order val="2"/>
          <c:tx>
            <c:strRef>
              <c:f>'T &amp; M (WS1)'!$M$23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'T &amp; M (WS1)'!$N$23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84-4DE2-9F5D-95B113F729B8}"/>
            </c:ext>
          </c:extLst>
        </c:ser>
        <c:ser>
          <c:idx val="3"/>
          <c:order val="3"/>
          <c:tx>
            <c:strRef>
              <c:f>'T &amp; M (WS1)'!$M$24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'T &amp; M (WS1)'!$N$24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84-4DE2-9F5D-95B113F729B8}"/>
            </c:ext>
          </c:extLst>
        </c:ser>
        <c:ser>
          <c:idx val="4"/>
          <c:order val="4"/>
          <c:tx>
            <c:strRef>
              <c:f>'T &amp; M (WS1)'!$M$25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484-4DE2-9F5D-95B113F729B8}"/>
              </c:ext>
            </c:extLst>
          </c:dPt>
          <c:val>
            <c:numRef>
              <c:f>'T &amp; M (WS1)'!$N$25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84-4DE2-9F5D-95B113F72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4848592"/>
        <c:axId val="1064849680"/>
      </c:barChart>
      <c:catAx>
        <c:axId val="10648485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64849680"/>
        <c:crosses val="autoZero"/>
        <c:auto val="1"/>
        <c:lblAlgn val="ctr"/>
        <c:lblOffset val="100"/>
        <c:noMultiLvlLbl val="0"/>
      </c:catAx>
      <c:valAx>
        <c:axId val="1064849680"/>
        <c:scaling>
          <c:orientation val="minMax"/>
          <c:max val="20"/>
        </c:scaling>
        <c:delete val="1"/>
        <c:axPos val="l"/>
        <c:numFmt formatCode="General" sourceLinked="1"/>
        <c:majorTickMark val="none"/>
        <c:minorTickMark val="none"/>
        <c:tickLblPos val="nextTo"/>
        <c:crossAx val="106484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effectLst>
              <a:softEdge rad="0"/>
            </a:effectLst>
            <a:scene3d>
              <a:camera prst="orthographicFront"/>
              <a:lightRig rig="threePt" dir="t"/>
            </a:scene3d>
            <a:sp3d>
              <a:bevelT w="31750"/>
              <a:bevelB w="19050"/>
            </a:sp3d>
          </c:spPr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1-6259-4A06-A14D-69706F2C07E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3-6259-4A06-A14D-69706F2C07E6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5-6259-4A06-A14D-69706F2C07E6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7-6259-4A06-A14D-69706F2C07E6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9-6259-4A06-A14D-69706F2C07E6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B-6259-4A06-A14D-69706F2C07E6}"/>
              </c:ext>
            </c:extLst>
          </c:dPt>
          <c:cat>
            <c:strRef>
              <c:f>'T &amp; M (WS2)'!$M$21:$M$26</c:f>
              <c:strCache>
                <c:ptCount val="6"/>
                <c:pt idx="0">
                  <c:v>Very Poor</c:v>
                </c:pt>
                <c:pt idx="1">
                  <c:v>Poor</c:v>
                </c:pt>
                <c:pt idx="2">
                  <c:v>Average</c:v>
                </c:pt>
                <c:pt idx="3">
                  <c:v>Good</c:v>
                </c:pt>
                <c:pt idx="4">
                  <c:v>Very Good</c:v>
                </c:pt>
                <c:pt idx="5">
                  <c:v>Remain</c:v>
                </c:pt>
              </c:strCache>
            </c:strRef>
          </c:cat>
          <c:val>
            <c:numRef>
              <c:f>'T &amp; M (WS2)'!$N$21:$N$26</c:f>
              <c:numCache>
                <c:formatCode>General</c:formatCode>
                <c:ptCount val="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259-4A06-A14D-69706F2C0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38100"/>
              <a:bevelB w="31750"/>
            </a:sp3d>
          </c:spPr>
          <c:explosion val="3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104-4980-B354-1D0D7CB7106E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38100"/>
                <a:bevelB w="31750"/>
              </a:sp3d>
            </c:spPr>
            <c:extLst>
              <c:ext xmlns:c16="http://schemas.microsoft.com/office/drawing/2014/chart" uri="{C3380CC4-5D6E-409C-BE32-E72D297353CC}">
                <c16:uniqueId val="{00000003-9104-4980-B354-1D0D7CB7106E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104-4980-B354-1D0D7CB7106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04-4980-B354-1D0D7CB7106E}"/>
                </c:ext>
              </c:extLst>
            </c:dLbl>
            <c:dLbl>
              <c:idx val="1"/>
              <c:tx>
                <c:strRef>
                  <c:f>'T &amp; M (WS2)'!$N$16</c:f>
                  <c:strCache>
                    <c:ptCount val="1"/>
                    <c:pt idx="0">
                      <c:v>85%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{250FF2F2-8A4C-4F38-9230-9ACB55CB79F9}</c15:txfldGUID>
                      <c15:f>'T &amp; M (WS2)'!$N$16</c15:f>
                      <c15:dlblFieldTableCache>
                        <c:ptCount val="1"/>
                        <c:pt idx="0">
                          <c:v>85%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9104-4980-B354-1D0D7CB7106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104-4980-B354-1D0D7CB710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 &amp; M (WS2)'!$M$16:$M$18</c:f>
              <c:strCache>
                <c:ptCount val="3"/>
                <c:pt idx="0">
                  <c:v>Value</c:v>
                </c:pt>
                <c:pt idx="1">
                  <c:v>Point </c:v>
                </c:pt>
                <c:pt idx="2">
                  <c:v>Remain</c:v>
                </c:pt>
              </c:strCache>
            </c:strRef>
          </c:cat>
          <c:val>
            <c:numRef>
              <c:f>'T &amp; M (WS2)'!$N$16:$N$18</c:f>
              <c:numCache>
                <c:formatCode>0%</c:formatCode>
                <c:ptCount val="3"/>
                <c:pt idx="0">
                  <c:v>0.84705882352941175</c:v>
                </c:pt>
                <c:pt idx="1">
                  <c:v>0.02</c:v>
                </c:pt>
                <c:pt idx="2">
                  <c:v>1.1329411764705881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04-4980-B354-1D0D7CB71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7022669463614355"/>
          <c:y val="2.6041666666666668E-2"/>
          <c:w val="0.60617828176883293"/>
          <c:h val="0.96875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rgbClr val="002060"/>
                </a:gs>
                <a:gs pos="48000">
                  <a:srgbClr val="0070C0"/>
                </a:gs>
                <a:gs pos="100000">
                  <a:srgbClr val="00B0F0"/>
                </a:gs>
              </a:gsLst>
              <a:lin ang="10800000" scaled="1"/>
              <a:tileRect/>
            </a:gradFill>
            <a:ln>
              <a:gradFill flip="none" rotWithShape="1">
                <a:gsLst>
                  <a:gs pos="0">
                    <a:schemeClr val="accent1">
                      <a:lumMod val="0"/>
                      <a:lumOff val="100000"/>
                    </a:schemeClr>
                  </a:gs>
                  <a:gs pos="33000">
                    <a:schemeClr val="accent1">
                      <a:lumMod val="0"/>
                      <a:lumOff val="100000"/>
                    </a:schemeClr>
                  </a:gs>
                  <a:gs pos="100000">
                    <a:schemeClr val="accent1">
                      <a:lumMod val="100000"/>
                    </a:schemeClr>
                  </a:gs>
                </a:gsLst>
                <a:lin ang="0" scaled="0"/>
                <a:tileRect/>
              </a:gradFill>
            </a:ln>
            <a:effectLst/>
          </c:spPr>
          <c:invertIfNegative val="0"/>
          <c:dLbls>
            <c:dLbl>
              <c:idx val="3"/>
              <c:layout>
                <c:manualLayout>
                  <c:x val="-1.2147902143387332E-2"/>
                  <c:y val="0.1424050632911393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0AF-4CB8-BEF2-7ED6050C22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 &amp; M (WS2)'!$C$29,'T &amp; M (WS2)'!$C$37,'T &amp; M (WS2)'!$C$45,'T &amp; M (WS2)'!$C$53)</c:f>
              <c:strCache>
                <c:ptCount val="4"/>
                <c:pt idx="0">
                  <c:v>Top Management Commitment</c:v>
                </c:pt>
                <c:pt idx="1">
                  <c:v>Departmental Heads' Commitment</c:v>
                </c:pt>
                <c:pt idx="2">
                  <c:v>Managerial Team's Commitment</c:v>
                </c:pt>
                <c:pt idx="3">
                  <c:v>Administrative support</c:v>
                </c:pt>
              </c:strCache>
            </c:strRef>
          </c:cat>
          <c:val>
            <c:numRef>
              <c:f>('T &amp; M (WS2)'!$D$29,'T &amp; M (WS2)'!$D$37,'T &amp; M (WS2)'!$D$45,'T &amp; M (WS2)'!$D$53)</c:f>
              <c:numCache>
                <c:formatCode>0%</c:formatCode>
                <c:ptCount val="4"/>
                <c:pt idx="0">
                  <c:v>0.88</c:v>
                </c:pt>
                <c:pt idx="1">
                  <c:v>0.8</c:v>
                </c:pt>
                <c:pt idx="2">
                  <c:v>0.6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C-4A76-A55C-1C78323EA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64851856"/>
        <c:axId val="1064850224"/>
      </c:barChart>
      <c:catAx>
        <c:axId val="10648518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850224"/>
        <c:crosses val="autoZero"/>
        <c:auto val="1"/>
        <c:lblAlgn val="ctr"/>
        <c:lblOffset val="100"/>
        <c:noMultiLvlLbl val="0"/>
      </c:catAx>
      <c:valAx>
        <c:axId val="1064850224"/>
        <c:scaling>
          <c:orientation val="minMax"/>
          <c:max val="1"/>
        </c:scaling>
        <c:delete val="1"/>
        <c:axPos val="t"/>
        <c:numFmt formatCode="0%" sourceLinked="1"/>
        <c:majorTickMark val="out"/>
        <c:minorTickMark val="none"/>
        <c:tickLblPos val="nextTo"/>
        <c:crossAx val="106485185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 &amp; M (WS2)'!$M$21</c:f>
              <c:strCache>
                <c:ptCount val="1"/>
                <c:pt idx="0">
                  <c:v>Very Poor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'T &amp; M (WS2)'!$N$21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4-4DE2-9F5D-95B113F729B8}"/>
            </c:ext>
          </c:extLst>
        </c:ser>
        <c:ser>
          <c:idx val="1"/>
          <c:order val="1"/>
          <c:tx>
            <c:strRef>
              <c:f>'T &amp; M (WS2)'!$M$22</c:f>
              <c:strCache>
                <c:ptCount val="1"/>
                <c:pt idx="0">
                  <c:v>Poor</c:v>
                </c:pt>
              </c:strCache>
            </c:strRef>
          </c:tx>
          <c:spPr>
            <a:solidFill>
              <a:srgbClr val="FF6969"/>
            </a:solidFill>
            <a:ln>
              <a:noFill/>
            </a:ln>
            <a:effectLst/>
          </c:spPr>
          <c:invertIfNegative val="0"/>
          <c:val>
            <c:numRef>
              <c:f>'T &amp; M (WS2)'!$N$22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84-4DE2-9F5D-95B113F729B8}"/>
            </c:ext>
          </c:extLst>
        </c:ser>
        <c:ser>
          <c:idx val="2"/>
          <c:order val="2"/>
          <c:tx>
            <c:strRef>
              <c:f>'T &amp; M (WS2)'!$M$23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'T &amp; M (WS2)'!$N$23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84-4DE2-9F5D-95B113F729B8}"/>
            </c:ext>
          </c:extLst>
        </c:ser>
        <c:ser>
          <c:idx val="3"/>
          <c:order val="3"/>
          <c:tx>
            <c:strRef>
              <c:f>'T &amp; M (WS2)'!$M$24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'T &amp; M (WS2)'!$N$24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84-4DE2-9F5D-95B113F729B8}"/>
            </c:ext>
          </c:extLst>
        </c:ser>
        <c:ser>
          <c:idx val="4"/>
          <c:order val="4"/>
          <c:tx>
            <c:strRef>
              <c:f>'T &amp; M (WS2)'!$M$25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484-4DE2-9F5D-95B113F729B8}"/>
              </c:ext>
            </c:extLst>
          </c:dPt>
          <c:val>
            <c:numRef>
              <c:f>'T &amp; M (WS2)'!$N$25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84-4DE2-9F5D-95B113F72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4852400"/>
        <c:axId val="1062824672"/>
      </c:barChart>
      <c:catAx>
        <c:axId val="10648524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62824672"/>
        <c:crosses val="autoZero"/>
        <c:auto val="1"/>
        <c:lblAlgn val="ctr"/>
        <c:lblOffset val="100"/>
        <c:noMultiLvlLbl val="0"/>
      </c:catAx>
      <c:valAx>
        <c:axId val="1062824672"/>
        <c:scaling>
          <c:orientation val="minMax"/>
          <c:max val="20"/>
        </c:scaling>
        <c:delete val="1"/>
        <c:axPos val="l"/>
        <c:numFmt formatCode="General" sourceLinked="1"/>
        <c:majorTickMark val="none"/>
        <c:minorTickMark val="none"/>
        <c:tickLblPos val="nextTo"/>
        <c:crossAx val="106485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effectLst>
              <a:softEdge rad="0"/>
            </a:effectLst>
            <a:scene3d>
              <a:camera prst="orthographicFront"/>
              <a:lightRig rig="threePt" dir="t"/>
            </a:scene3d>
            <a:sp3d>
              <a:bevelT w="31750"/>
              <a:bevelB w="19050"/>
            </a:sp3d>
          </c:spPr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1-6259-4A06-A14D-69706F2C07E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3-6259-4A06-A14D-69706F2C07E6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5-6259-4A06-A14D-69706F2C07E6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7-6259-4A06-A14D-69706F2C07E6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9-6259-4A06-A14D-69706F2C07E6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B-6259-4A06-A14D-69706F2C07E6}"/>
              </c:ext>
            </c:extLst>
          </c:dPt>
          <c:cat>
            <c:strRef>
              <c:f>'T &amp; M (WS3)'!$M$21:$M$26</c:f>
              <c:strCache>
                <c:ptCount val="6"/>
                <c:pt idx="0">
                  <c:v>Very Poor</c:v>
                </c:pt>
                <c:pt idx="1">
                  <c:v>Poor</c:v>
                </c:pt>
                <c:pt idx="2">
                  <c:v>Average</c:v>
                </c:pt>
                <c:pt idx="3">
                  <c:v>Good</c:v>
                </c:pt>
                <c:pt idx="4">
                  <c:v>Very Good</c:v>
                </c:pt>
                <c:pt idx="5">
                  <c:v>Remain</c:v>
                </c:pt>
              </c:strCache>
            </c:strRef>
          </c:cat>
          <c:val>
            <c:numRef>
              <c:f>'T &amp; M (WS3)'!$N$21:$N$26</c:f>
              <c:numCache>
                <c:formatCode>General</c:formatCode>
                <c:ptCount val="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259-4A06-A14D-69706F2C0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38100"/>
              <a:bevelB w="31750"/>
            </a:sp3d>
          </c:spPr>
          <c:explosion val="3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104-4980-B354-1D0D7CB7106E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38100"/>
                <a:bevelB w="31750"/>
              </a:sp3d>
            </c:spPr>
            <c:extLst>
              <c:ext xmlns:c16="http://schemas.microsoft.com/office/drawing/2014/chart" uri="{C3380CC4-5D6E-409C-BE32-E72D297353CC}">
                <c16:uniqueId val="{00000003-9104-4980-B354-1D0D7CB7106E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104-4980-B354-1D0D7CB7106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04-4980-B354-1D0D7CB7106E}"/>
                </c:ext>
              </c:extLst>
            </c:dLbl>
            <c:dLbl>
              <c:idx val="1"/>
              <c:tx>
                <c:strRef>
                  <c:f>'T &amp; M (WS3)'!$N$16</c:f>
                  <c:strCache>
                    <c:ptCount val="1"/>
                    <c:pt idx="0">
                      <c:v>85%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{8D9C0B90-6658-4676-BCB4-3314504A936E}</c15:txfldGUID>
                      <c15:f>'T &amp; M (WS3)'!$N$16</c15:f>
                      <c15:dlblFieldTableCache>
                        <c:ptCount val="1"/>
                        <c:pt idx="0">
                          <c:v>85%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9104-4980-B354-1D0D7CB7106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104-4980-B354-1D0D7CB710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 &amp; M (WS3)'!$M$16:$M$18</c:f>
              <c:strCache>
                <c:ptCount val="3"/>
                <c:pt idx="0">
                  <c:v>Value</c:v>
                </c:pt>
                <c:pt idx="1">
                  <c:v>Point </c:v>
                </c:pt>
                <c:pt idx="2">
                  <c:v>Remain</c:v>
                </c:pt>
              </c:strCache>
            </c:strRef>
          </c:cat>
          <c:val>
            <c:numRef>
              <c:f>'T &amp; M (WS3)'!$N$16:$N$18</c:f>
              <c:numCache>
                <c:formatCode>0%</c:formatCode>
                <c:ptCount val="3"/>
                <c:pt idx="0">
                  <c:v>0.84705882352941175</c:v>
                </c:pt>
                <c:pt idx="1">
                  <c:v>0.02</c:v>
                </c:pt>
                <c:pt idx="2">
                  <c:v>1.1329411764705881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04-4980-B354-1D0D7CB71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7022669463614355"/>
          <c:y val="2.6041666666666668E-2"/>
          <c:w val="0.60617828176883293"/>
          <c:h val="0.96875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rgbClr val="002060"/>
                </a:gs>
                <a:gs pos="48000">
                  <a:srgbClr val="0070C0"/>
                </a:gs>
                <a:gs pos="100000">
                  <a:srgbClr val="00B0F0"/>
                </a:gs>
              </a:gsLst>
              <a:lin ang="10800000" scaled="1"/>
              <a:tileRect/>
            </a:gradFill>
            <a:ln>
              <a:gradFill flip="none" rotWithShape="1">
                <a:gsLst>
                  <a:gs pos="0">
                    <a:schemeClr val="accent1">
                      <a:lumMod val="0"/>
                      <a:lumOff val="100000"/>
                    </a:schemeClr>
                  </a:gs>
                  <a:gs pos="33000">
                    <a:schemeClr val="accent1">
                      <a:lumMod val="0"/>
                      <a:lumOff val="100000"/>
                    </a:schemeClr>
                  </a:gs>
                  <a:gs pos="100000">
                    <a:schemeClr val="accent1">
                      <a:lumMod val="100000"/>
                    </a:schemeClr>
                  </a:gs>
                </a:gsLst>
                <a:lin ang="0" scaled="0"/>
                <a:tileRect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 &amp; M (WS3)'!$C$29,'T &amp; M (WS3)'!$C$37,'T &amp; M (WS3)'!$C$45,'T &amp; M (WS3)'!$C$53)</c:f>
              <c:strCache>
                <c:ptCount val="4"/>
                <c:pt idx="0">
                  <c:v>Top Management Commitment</c:v>
                </c:pt>
                <c:pt idx="1">
                  <c:v>Departmental Heads' Commitment</c:v>
                </c:pt>
                <c:pt idx="2">
                  <c:v>Managerial Team's Commitment</c:v>
                </c:pt>
                <c:pt idx="3">
                  <c:v>Administrative support</c:v>
                </c:pt>
              </c:strCache>
            </c:strRef>
          </c:cat>
          <c:val>
            <c:numRef>
              <c:f>('T &amp; M (WS3)'!$D$29,'T &amp; M (WS3)'!$D$37,'T &amp; M (WS3)'!$D$45,'T &amp; M (WS3)'!$D$53)</c:f>
              <c:numCache>
                <c:formatCode>0%</c:formatCode>
                <c:ptCount val="4"/>
                <c:pt idx="0">
                  <c:v>0.88</c:v>
                </c:pt>
                <c:pt idx="1">
                  <c:v>0.8</c:v>
                </c:pt>
                <c:pt idx="2">
                  <c:v>0.6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C-4A76-A55C-1C78323EA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62825760"/>
        <c:axId val="1252739136"/>
      </c:barChart>
      <c:catAx>
        <c:axId val="10628257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739136"/>
        <c:crosses val="autoZero"/>
        <c:auto val="1"/>
        <c:lblAlgn val="ctr"/>
        <c:lblOffset val="100"/>
        <c:noMultiLvlLbl val="0"/>
      </c:catAx>
      <c:valAx>
        <c:axId val="1252739136"/>
        <c:scaling>
          <c:orientation val="minMax"/>
          <c:max val="1"/>
        </c:scaling>
        <c:delete val="1"/>
        <c:axPos val="t"/>
        <c:numFmt formatCode="0%" sourceLinked="1"/>
        <c:majorTickMark val="out"/>
        <c:minorTickMark val="none"/>
        <c:tickLblPos val="nextTo"/>
        <c:crossAx val="106282576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 &amp; M (WS3)'!$M$21</c:f>
              <c:strCache>
                <c:ptCount val="1"/>
                <c:pt idx="0">
                  <c:v>Very Poor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'T &amp; M (WS3)'!$N$21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4-4DE2-9F5D-95B113F729B8}"/>
            </c:ext>
          </c:extLst>
        </c:ser>
        <c:ser>
          <c:idx val="1"/>
          <c:order val="1"/>
          <c:tx>
            <c:strRef>
              <c:f>'T &amp; M (WS3)'!$M$22</c:f>
              <c:strCache>
                <c:ptCount val="1"/>
                <c:pt idx="0">
                  <c:v>Poor</c:v>
                </c:pt>
              </c:strCache>
            </c:strRef>
          </c:tx>
          <c:spPr>
            <a:solidFill>
              <a:srgbClr val="FF6969"/>
            </a:solidFill>
            <a:ln>
              <a:noFill/>
            </a:ln>
            <a:effectLst/>
          </c:spPr>
          <c:invertIfNegative val="0"/>
          <c:val>
            <c:numRef>
              <c:f>'T &amp; M (WS3)'!$N$22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84-4DE2-9F5D-95B113F729B8}"/>
            </c:ext>
          </c:extLst>
        </c:ser>
        <c:ser>
          <c:idx val="2"/>
          <c:order val="2"/>
          <c:tx>
            <c:strRef>
              <c:f>'T &amp; M (WS3)'!$M$23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'T &amp; M (WS3)'!$N$23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84-4DE2-9F5D-95B113F729B8}"/>
            </c:ext>
          </c:extLst>
        </c:ser>
        <c:ser>
          <c:idx val="3"/>
          <c:order val="3"/>
          <c:tx>
            <c:strRef>
              <c:f>'T &amp; M (WS3)'!$M$24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'T &amp; M (WS3)'!$N$24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84-4DE2-9F5D-95B113F729B8}"/>
            </c:ext>
          </c:extLst>
        </c:ser>
        <c:ser>
          <c:idx val="4"/>
          <c:order val="4"/>
          <c:tx>
            <c:strRef>
              <c:f>'T &amp; M (WS3)'!$M$25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484-4DE2-9F5D-95B113F729B8}"/>
              </c:ext>
            </c:extLst>
          </c:dPt>
          <c:val>
            <c:numRef>
              <c:f>'T &amp; M (WS3)'!$N$25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84-4DE2-9F5D-95B113F72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2748928"/>
        <c:axId val="1252752192"/>
      </c:barChart>
      <c:catAx>
        <c:axId val="12527489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52752192"/>
        <c:crosses val="autoZero"/>
        <c:auto val="1"/>
        <c:lblAlgn val="ctr"/>
        <c:lblOffset val="100"/>
        <c:noMultiLvlLbl val="0"/>
      </c:catAx>
      <c:valAx>
        <c:axId val="1252752192"/>
        <c:scaling>
          <c:orientation val="minMax"/>
          <c:max val="20"/>
        </c:scaling>
        <c:delete val="1"/>
        <c:axPos val="l"/>
        <c:numFmt formatCode="General" sourceLinked="1"/>
        <c:majorTickMark val="none"/>
        <c:minorTickMark val="none"/>
        <c:tickLblPos val="nextTo"/>
        <c:crossAx val="125274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effectLst>
              <a:softEdge rad="0"/>
            </a:effectLst>
            <a:scene3d>
              <a:camera prst="orthographicFront"/>
              <a:lightRig rig="threePt" dir="t"/>
            </a:scene3d>
            <a:sp3d>
              <a:bevelT w="31750"/>
              <a:bevelB w="19050"/>
            </a:sp3d>
          </c:spPr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1-6259-4A06-A14D-69706F2C07E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3-6259-4A06-A14D-69706F2C07E6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5-6259-4A06-A14D-69706F2C07E6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7-6259-4A06-A14D-69706F2C07E6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9-6259-4A06-A14D-69706F2C07E6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B-6259-4A06-A14D-69706F2C07E6}"/>
              </c:ext>
            </c:extLst>
          </c:dPt>
          <c:cat>
            <c:strRef>
              <c:f>'T &amp; M (WS4)'!$M$21:$M$26</c:f>
              <c:strCache>
                <c:ptCount val="6"/>
                <c:pt idx="0">
                  <c:v>Very Poor</c:v>
                </c:pt>
                <c:pt idx="1">
                  <c:v>Poor</c:v>
                </c:pt>
                <c:pt idx="2">
                  <c:v>Average</c:v>
                </c:pt>
                <c:pt idx="3">
                  <c:v>Good</c:v>
                </c:pt>
                <c:pt idx="4">
                  <c:v>Very Good</c:v>
                </c:pt>
                <c:pt idx="5">
                  <c:v>Remain</c:v>
                </c:pt>
              </c:strCache>
            </c:strRef>
          </c:cat>
          <c:val>
            <c:numRef>
              <c:f>'T &amp; M (WS4)'!$N$21:$N$26</c:f>
              <c:numCache>
                <c:formatCode>General</c:formatCode>
                <c:ptCount val="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259-4A06-A14D-69706F2C0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38100"/>
              <a:bevelB w="31750"/>
            </a:sp3d>
          </c:spPr>
          <c:explosion val="3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104-4980-B354-1D0D7CB7106E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38100"/>
                <a:bevelB w="31750"/>
              </a:sp3d>
            </c:spPr>
            <c:extLst>
              <c:ext xmlns:c16="http://schemas.microsoft.com/office/drawing/2014/chart" uri="{C3380CC4-5D6E-409C-BE32-E72D297353CC}">
                <c16:uniqueId val="{00000003-9104-4980-B354-1D0D7CB7106E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104-4980-B354-1D0D7CB7106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04-4980-B354-1D0D7CB7106E}"/>
                </c:ext>
              </c:extLst>
            </c:dLbl>
            <c:dLbl>
              <c:idx val="1"/>
              <c:tx>
                <c:strRef>
                  <c:f>'T &amp; M (WS4)'!$N$16</c:f>
                  <c:strCache>
                    <c:ptCount val="1"/>
                    <c:pt idx="0">
                      <c:v>85%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{792D9849-09DF-41F3-80D5-A3F9845D7755}</c15:txfldGUID>
                      <c15:f>'T &amp; M (WS4)'!$N$16</c15:f>
                      <c15:dlblFieldTableCache>
                        <c:ptCount val="1"/>
                        <c:pt idx="0">
                          <c:v>85%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9104-4980-B354-1D0D7CB7106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104-4980-B354-1D0D7CB710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 &amp; M (WS4)'!$M$16:$M$18</c:f>
              <c:strCache>
                <c:ptCount val="3"/>
                <c:pt idx="0">
                  <c:v>Value</c:v>
                </c:pt>
                <c:pt idx="1">
                  <c:v>Point </c:v>
                </c:pt>
                <c:pt idx="2">
                  <c:v>Remain</c:v>
                </c:pt>
              </c:strCache>
            </c:strRef>
          </c:cat>
          <c:val>
            <c:numRef>
              <c:f>'T &amp; M (WS4)'!$N$16:$N$18</c:f>
              <c:numCache>
                <c:formatCode>0%</c:formatCode>
                <c:ptCount val="3"/>
                <c:pt idx="0">
                  <c:v>0.84705882352941175</c:v>
                </c:pt>
                <c:pt idx="1">
                  <c:v>0.02</c:v>
                </c:pt>
                <c:pt idx="2">
                  <c:v>1.1329411764705881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04-4980-B354-1D0D7CB71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7022669463614355"/>
          <c:y val="2.6041666666666668E-2"/>
          <c:w val="0.60617828176883293"/>
          <c:h val="0.96875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rgbClr val="002060"/>
                </a:gs>
                <a:gs pos="48000">
                  <a:srgbClr val="0070C0"/>
                </a:gs>
                <a:gs pos="100000">
                  <a:srgbClr val="00B0F0"/>
                </a:gs>
              </a:gsLst>
              <a:lin ang="10800000" scaled="1"/>
              <a:tileRect/>
            </a:gradFill>
            <a:ln>
              <a:gradFill flip="none" rotWithShape="1">
                <a:gsLst>
                  <a:gs pos="0">
                    <a:schemeClr val="accent1">
                      <a:lumMod val="0"/>
                      <a:lumOff val="100000"/>
                    </a:schemeClr>
                  </a:gs>
                  <a:gs pos="33000">
                    <a:schemeClr val="accent1">
                      <a:lumMod val="0"/>
                      <a:lumOff val="100000"/>
                    </a:schemeClr>
                  </a:gs>
                  <a:gs pos="100000">
                    <a:schemeClr val="accent1">
                      <a:lumMod val="100000"/>
                    </a:schemeClr>
                  </a:gs>
                </a:gsLst>
                <a:lin ang="0" scaled="0"/>
                <a:tileRect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 &amp; M (WS4)'!$C$29,'T &amp; M (WS4)'!$C$37,'T &amp; M (WS4)'!$C$45,'T &amp; M (WS4)'!$C$53)</c:f>
              <c:strCache>
                <c:ptCount val="4"/>
                <c:pt idx="0">
                  <c:v>Top Management Commitment</c:v>
                </c:pt>
                <c:pt idx="1">
                  <c:v>Departmental Heads' Commitment</c:v>
                </c:pt>
                <c:pt idx="2">
                  <c:v>Managerial Team's Commitment</c:v>
                </c:pt>
                <c:pt idx="3">
                  <c:v>Administrative support</c:v>
                </c:pt>
              </c:strCache>
            </c:strRef>
          </c:cat>
          <c:val>
            <c:numRef>
              <c:f>('T &amp; M (WS4)'!$D$29,'T &amp; M (WS4)'!$D$37,'T &amp; M (WS4)'!$D$45,'T &amp; M (WS4)'!$D$53)</c:f>
              <c:numCache>
                <c:formatCode>0%</c:formatCode>
                <c:ptCount val="4"/>
                <c:pt idx="0">
                  <c:v>0.88</c:v>
                </c:pt>
                <c:pt idx="1">
                  <c:v>0.8</c:v>
                </c:pt>
                <c:pt idx="2">
                  <c:v>0.6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C-4A76-A55C-1C78323EA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252743488"/>
        <c:axId val="1252736960"/>
      </c:barChart>
      <c:catAx>
        <c:axId val="12527434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736960"/>
        <c:crosses val="autoZero"/>
        <c:auto val="1"/>
        <c:lblAlgn val="ctr"/>
        <c:lblOffset val="100"/>
        <c:noMultiLvlLbl val="0"/>
      </c:catAx>
      <c:valAx>
        <c:axId val="1252736960"/>
        <c:scaling>
          <c:orientation val="minMax"/>
          <c:max val="1"/>
        </c:scaling>
        <c:delete val="1"/>
        <c:axPos val="t"/>
        <c:numFmt formatCode="0%" sourceLinked="1"/>
        <c:majorTickMark val="out"/>
        <c:minorTickMark val="none"/>
        <c:tickLblPos val="nextTo"/>
        <c:crossAx val="125274348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 &amp; M (WS4)'!$M$21</c:f>
              <c:strCache>
                <c:ptCount val="1"/>
                <c:pt idx="0">
                  <c:v>Very Poor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'T &amp; M (WS4)'!$N$21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4-4DE2-9F5D-95B113F729B8}"/>
            </c:ext>
          </c:extLst>
        </c:ser>
        <c:ser>
          <c:idx val="1"/>
          <c:order val="1"/>
          <c:tx>
            <c:strRef>
              <c:f>'T &amp; M (WS4)'!$M$22</c:f>
              <c:strCache>
                <c:ptCount val="1"/>
                <c:pt idx="0">
                  <c:v>Poor</c:v>
                </c:pt>
              </c:strCache>
            </c:strRef>
          </c:tx>
          <c:spPr>
            <a:solidFill>
              <a:srgbClr val="FF6969"/>
            </a:solidFill>
            <a:ln>
              <a:noFill/>
            </a:ln>
            <a:effectLst/>
          </c:spPr>
          <c:invertIfNegative val="0"/>
          <c:val>
            <c:numRef>
              <c:f>'T &amp; M (WS4)'!$N$22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84-4DE2-9F5D-95B113F729B8}"/>
            </c:ext>
          </c:extLst>
        </c:ser>
        <c:ser>
          <c:idx val="2"/>
          <c:order val="2"/>
          <c:tx>
            <c:strRef>
              <c:f>'T &amp; M (WS4)'!$M$23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'T &amp; M (WS4)'!$N$23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84-4DE2-9F5D-95B113F729B8}"/>
            </c:ext>
          </c:extLst>
        </c:ser>
        <c:ser>
          <c:idx val="3"/>
          <c:order val="3"/>
          <c:tx>
            <c:strRef>
              <c:f>'T &amp; M (WS4)'!$M$24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'T &amp; M (WS4)'!$N$24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84-4DE2-9F5D-95B113F729B8}"/>
            </c:ext>
          </c:extLst>
        </c:ser>
        <c:ser>
          <c:idx val="4"/>
          <c:order val="4"/>
          <c:tx>
            <c:strRef>
              <c:f>'T &amp; M (WS4)'!$M$25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484-4DE2-9F5D-95B113F729B8}"/>
              </c:ext>
            </c:extLst>
          </c:dPt>
          <c:val>
            <c:numRef>
              <c:f>'T &amp; M (WS4)'!$N$25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84-4DE2-9F5D-95B113F72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2738048"/>
        <c:axId val="1252745664"/>
      </c:barChart>
      <c:catAx>
        <c:axId val="12527380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52745664"/>
        <c:crosses val="autoZero"/>
        <c:auto val="1"/>
        <c:lblAlgn val="ctr"/>
        <c:lblOffset val="100"/>
        <c:noMultiLvlLbl val="0"/>
      </c:catAx>
      <c:valAx>
        <c:axId val="1252745664"/>
        <c:scaling>
          <c:orientation val="minMax"/>
          <c:max val="20"/>
        </c:scaling>
        <c:delete val="1"/>
        <c:axPos val="l"/>
        <c:numFmt formatCode="General" sourceLinked="1"/>
        <c:majorTickMark val="none"/>
        <c:minorTickMark val="none"/>
        <c:tickLblPos val="nextTo"/>
        <c:crossAx val="125273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effectLst>
              <a:softEdge rad="0"/>
            </a:effectLst>
            <a:scene3d>
              <a:camera prst="orthographicFront"/>
              <a:lightRig rig="threePt" dir="t"/>
            </a:scene3d>
            <a:sp3d>
              <a:bevelT w="31750"/>
              <a:bevelB w="19050"/>
            </a:sp3d>
          </c:spPr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1-5441-4C69-8839-F515C4FB123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3-5441-4C69-8839-F515C4FB123B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5-5441-4C69-8839-F515C4FB123B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7-5441-4C69-8839-F515C4FB123B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9-5441-4C69-8839-F515C4FB123B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B-5441-4C69-8839-F515C4FB123B}"/>
              </c:ext>
            </c:extLst>
          </c:dPt>
          <c:cat>
            <c:strRef>
              <c:f>'WS 10'!$M$21:$M$26</c:f>
              <c:strCache>
                <c:ptCount val="6"/>
                <c:pt idx="0">
                  <c:v>Very Poor</c:v>
                </c:pt>
                <c:pt idx="1">
                  <c:v>Poor</c:v>
                </c:pt>
                <c:pt idx="2">
                  <c:v>Average</c:v>
                </c:pt>
                <c:pt idx="3">
                  <c:v>Good</c:v>
                </c:pt>
                <c:pt idx="4">
                  <c:v>Very Good</c:v>
                </c:pt>
                <c:pt idx="5">
                  <c:v>Remain</c:v>
                </c:pt>
              </c:strCache>
            </c:strRef>
          </c:cat>
          <c:val>
            <c:numRef>
              <c:f>'WS 10'!$N$21:$N$26</c:f>
              <c:numCache>
                <c:formatCode>General</c:formatCode>
                <c:ptCount val="6"/>
                <c:pt idx="0">
                  <c:v>35</c:v>
                </c:pt>
                <c:pt idx="1">
                  <c:v>20</c:v>
                </c:pt>
                <c:pt idx="2">
                  <c:v>20</c:v>
                </c:pt>
                <c:pt idx="3">
                  <c:v>15</c:v>
                </c:pt>
                <c:pt idx="4">
                  <c:v>10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441-4C69-8839-F515C4FB1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38100"/>
              <a:bevelB w="31750"/>
            </a:sp3d>
          </c:spPr>
          <c:explosion val="3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8D0-4E68-9C27-F99D4702C5A4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38100"/>
                <a:bevelB w="31750"/>
              </a:sp3d>
            </c:spPr>
            <c:extLst>
              <c:ext xmlns:c16="http://schemas.microsoft.com/office/drawing/2014/chart" uri="{C3380CC4-5D6E-409C-BE32-E72D297353CC}">
                <c16:uniqueId val="{00000003-B8D0-4E68-9C27-F99D4702C5A4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8D0-4E68-9C27-F99D4702C5A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D0-4E68-9C27-F99D4702C5A4}"/>
                </c:ext>
              </c:extLst>
            </c:dLbl>
            <c:dLbl>
              <c:idx val="1"/>
              <c:tx>
                <c:strRef>
                  <c:f>'WS 10'!$N$16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{7C5ED269-A169-4F39-AFD7-7F9FD789D866}</c15:txfldGUID>
                      <c15:f>'WS 10'!$N$16</c15:f>
                      <c15:dlblFieldTableCache>
                        <c:ptCount val="1"/>
                        <c:pt idx="0">
                          <c:v>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B8D0-4E68-9C27-F99D4702C5A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D0-4E68-9C27-F99D4702C5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'WS 10'!$M$16:$M$18</c:f>
              <c:strCache>
                <c:ptCount val="3"/>
                <c:pt idx="0">
                  <c:v>Value</c:v>
                </c:pt>
                <c:pt idx="1">
                  <c:v>Point </c:v>
                </c:pt>
                <c:pt idx="2">
                  <c:v>Remain</c:v>
                </c:pt>
              </c:strCache>
            </c:strRef>
          </c:cat>
          <c:val>
            <c:numRef>
              <c:f>'WS 10'!$N$16:$N$18</c:f>
              <c:numCache>
                <c:formatCode>0%</c:formatCode>
                <c:ptCount val="3"/>
                <c:pt idx="0">
                  <c:v>0</c:v>
                </c:pt>
                <c:pt idx="1">
                  <c:v>0.02</c:v>
                </c:pt>
                <c:pt idx="2">
                  <c:v>1.98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D0-4E68-9C27-F99D4702C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7022669463614355"/>
          <c:y val="2.6041666666666668E-2"/>
          <c:w val="0.60617828176883293"/>
          <c:h val="0.96875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rgbClr val="002060"/>
                </a:gs>
                <a:gs pos="48000">
                  <a:srgbClr val="0070C0"/>
                </a:gs>
                <a:gs pos="100000">
                  <a:srgbClr val="00B0F0"/>
                </a:gs>
              </a:gsLst>
              <a:lin ang="10800000" scaled="1"/>
              <a:tileRect/>
            </a:gradFill>
            <a:ln>
              <a:gradFill flip="none" rotWithShape="1">
                <a:gsLst>
                  <a:gs pos="0">
                    <a:schemeClr val="accent1">
                      <a:lumMod val="0"/>
                      <a:lumOff val="100000"/>
                    </a:schemeClr>
                  </a:gs>
                  <a:gs pos="33000">
                    <a:schemeClr val="accent1">
                      <a:lumMod val="0"/>
                      <a:lumOff val="100000"/>
                    </a:schemeClr>
                  </a:gs>
                  <a:gs pos="100000">
                    <a:schemeClr val="accent1">
                      <a:lumMod val="100000"/>
                    </a:schemeClr>
                  </a:gs>
                </a:gsLst>
                <a:lin ang="0" scaled="0"/>
                <a:tileRect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('WS 10'!$C$29,'WS 10'!$C$37,'WS 10'!$C$45,'WS 10'!$C$53,'WS 10'!$C$61)</c:f>
              <c:strCache>
                <c:ptCount val="5"/>
                <c:pt idx="0">
                  <c:v>Top Management Commitment</c:v>
                </c:pt>
                <c:pt idx="1">
                  <c:v>Departmental Heads' Commitment</c:v>
                </c:pt>
                <c:pt idx="2">
                  <c:v>Managerial Team's Commitment</c:v>
                </c:pt>
                <c:pt idx="3">
                  <c:v>Administrative support</c:v>
                </c:pt>
                <c:pt idx="4">
                  <c:v>#REF!</c:v>
                </c:pt>
              </c:strCache>
            </c:strRef>
          </c:cat>
          <c:val>
            <c:numRef>
              <c:f>('WS 10'!$D$29,'WS 10'!$D$37,'WS 10'!$D$45,'WS 10'!$D$53,'WS 10'!$D$61)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4-4877-9E7A-18322BD2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252742944"/>
        <c:axId val="1252744032"/>
      </c:barChart>
      <c:catAx>
        <c:axId val="12527429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744032"/>
        <c:crosses val="autoZero"/>
        <c:auto val="1"/>
        <c:lblAlgn val="ctr"/>
        <c:lblOffset val="100"/>
        <c:noMultiLvlLbl val="0"/>
      </c:catAx>
      <c:valAx>
        <c:axId val="1252744032"/>
        <c:scaling>
          <c:orientation val="minMax"/>
          <c:max val="1"/>
        </c:scaling>
        <c:delete val="1"/>
        <c:axPos val="t"/>
        <c:numFmt formatCode="0%" sourceLinked="1"/>
        <c:majorTickMark val="out"/>
        <c:minorTickMark val="none"/>
        <c:tickLblPos val="nextTo"/>
        <c:crossAx val="125274294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'WS 10'!$M$21</c:f>
              <c:strCache>
                <c:ptCount val="1"/>
                <c:pt idx="0">
                  <c:v>Very Poor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'WS 10'!$N$21</c:f>
              <c:numCache>
                <c:formatCode>General</c:formatCode>
                <c:ptCount val="1"/>
                <c:pt idx="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7-4B79-B6A6-97D610A1E893}"/>
            </c:ext>
          </c:extLst>
        </c:ser>
        <c:ser>
          <c:idx val="1"/>
          <c:order val="1"/>
          <c:tx>
            <c:strRef>
              <c:f>'WS 10'!$M$22</c:f>
              <c:strCache>
                <c:ptCount val="1"/>
                <c:pt idx="0">
                  <c:v>Poor</c:v>
                </c:pt>
              </c:strCache>
            </c:strRef>
          </c:tx>
          <c:spPr>
            <a:solidFill>
              <a:srgbClr val="FF6969"/>
            </a:solidFill>
            <a:ln>
              <a:noFill/>
            </a:ln>
            <a:effectLst/>
          </c:spPr>
          <c:invertIfNegative val="0"/>
          <c:val>
            <c:numRef>
              <c:f>'WS 10'!$N$22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C7-4B79-B6A6-97D610A1E893}"/>
            </c:ext>
          </c:extLst>
        </c:ser>
        <c:ser>
          <c:idx val="2"/>
          <c:order val="2"/>
          <c:tx>
            <c:strRef>
              <c:f>'WS 10'!$M$23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'WS 10'!$N$23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C7-4B79-B6A6-97D610A1E893}"/>
            </c:ext>
          </c:extLst>
        </c:ser>
        <c:ser>
          <c:idx val="3"/>
          <c:order val="3"/>
          <c:tx>
            <c:strRef>
              <c:f>'WS 10'!$M$24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'WS 10'!$N$24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C7-4B79-B6A6-97D610A1E893}"/>
            </c:ext>
          </c:extLst>
        </c:ser>
        <c:ser>
          <c:idx val="4"/>
          <c:order val="4"/>
          <c:tx>
            <c:strRef>
              <c:f>'WS 10'!$M$25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1C7-4B79-B6A6-97D610A1E893}"/>
              </c:ext>
            </c:extLst>
          </c:dPt>
          <c:val>
            <c:numRef>
              <c:f>'WS 10'!$N$25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C7-4B79-B6A6-97D610A1E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4606288"/>
        <c:axId val="1254609008"/>
      </c:barChart>
      <c:catAx>
        <c:axId val="12546062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54609008"/>
        <c:crosses val="autoZero"/>
        <c:auto val="1"/>
        <c:lblAlgn val="ctr"/>
        <c:lblOffset val="100"/>
        <c:noMultiLvlLbl val="0"/>
      </c:catAx>
      <c:valAx>
        <c:axId val="1254609008"/>
        <c:scaling>
          <c:orientation val="minMax"/>
          <c:max val="20"/>
        </c:scaling>
        <c:delete val="1"/>
        <c:axPos val="l"/>
        <c:numFmt formatCode="General" sourceLinked="1"/>
        <c:majorTickMark val="none"/>
        <c:minorTickMark val="none"/>
        <c:tickLblPos val="nextTo"/>
        <c:crossAx val="1254606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effectLst>
              <a:softEdge rad="0"/>
            </a:effectLst>
            <a:scene3d>
              <a:camera prst="orthographicFront"/>
              <a:lightRig rig="threePt" dir="t"/>
            </a:scene3d>
            <a:sp3d>
              <a:bevelT w="31750"/>
              <a:bevelB w="19050"/>
            </a:sp3d>
          </c:spPr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1-A179-439E-918E-964345119FF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3-A179-439E-918E-964345119FFE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5-A179-439E-918E-964345119FFE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7-A179-439E-918E-964345119FFE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9-A179-439E-918E-964345119FFE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B-A179-439E-918E-964345119FFE}"/>
              </c:ext>
            </c:extLst>
          </c:dPt>
          <c:cat>
            <c:strRef>
              <c:f>'WS 11'!$M$21:$M$26</c:f>
              <c:strCache>
                <c:ptCount val="6"/>
                <c:pt idx="0">
                  <c:v>Very Poor</c:v>
                </c:pt>
                <c:pt idx="1">
                  <c:v>Poor</c:v>
                </c:pt>
                <c:pt idx="2">
                  <c:v>Average</c:v>
                </c:pt>
                <c:pt idx="3">
                  <c:v>Good</c:v>
                </c:pt>
                <c:pt idx="4">
                  <c:v>Very Good</c:v>
                </c:pt>
                <c:pt idx="5">
                  <c:v>Remain</c:v>
                </c:pt>
              </c:strCache>
            </c:strRef>
          </c:cat>
          <c:val>
            <c:numRef>
              <c:f>'WS 11'!$N$21:$N$26</c:f>
              <c:numCache>
                <c:formatCode>General</c:formatCode>
                <c:ptCount val="6"/>
                <c:pt idx="0">
                  <c:v>35</c:v>
                </c:pt>
                <c:pt idx="1">
                  <c:v>20</c:v>
                </c:pt>
                <c:pt idx="2">
                  <c:v>20</c:v>
                </c:pt>
                <c:pt idx="3">
                  <c:v>15</c:v>
                </c:pt>
                <c:pt idx="4">
                  <c:v>10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179-439E-918E-964345119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38100"/>
              <a:bevelB w="31750"/>
            </a:sp3d>
          </c:spPr>
          <c:explosion val="3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33-4649-90CF-EA981796950C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38100"/>
                <a:bevelB w="31750"/>
              </a:sp3d>
            </c:spPr>
            <c:extLst>
              <c:ext xmlns:c16="http://schemas.microsoft.com/office/drawing/2014/chart" uri="{C3380CC4-5D6E-409C-BE32-E72D297353CC}">
                <c16:uniqueId val="{00000003-8733-4649-90CF-EA981796950C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733-4649-90CF-EA981796950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33-4649-90CF-EA981796950C}"/>
                </c:ext>
              </c:extLst>
            </c:dLbl>
            <c:dLbl>
              <c:idx val="1"/>
              <c:tx>
                <c:strRef>
                  <c:f>'WS 11'!$N$16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{78A038B6-2EFC-4257-ABE9-8ED7E74C0B22}</c15:txfldGUID>
                      <c15:f>'WS 11'!$N$16</c15:f>
                      <c15:dlblFieldTableCache>
                        <c:ptCount val="1"/>
                        <c:pt idx="0">
                          <c:v>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8733-4649-90CF-EA981796950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733-4649-90CF-EA98179695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'WS 11'!$M$16:$M$18</c:f>
              <c:strCache>
                <c:ptCount val="3"/>
                <c:pt idx="0">
                  <c:v>Value</c:v>
                </c:pt>
                <c:pt idx="1">
                  <c:v>Point </c:v>
                </c:pt>
                <c:pt idx="2">
                  <c:v>Remain</c:v>
                </c:pt>
              </c:strCache>
            </c:strRef>
          </c:cat>
          <c:val>
            <c:numRef>
              <c:f>'WS 11'!$N$16:$N$18</c:f>
              <c:numCache>
                <c:formatCode>0%</c:formatCode>
                <c:ptCount val="3"/>
                <c:pt idx="0">
                  <c:v>0</c:v>
                </c:pt>
                <c:pt idx="1">
                  <c:v>0.02</c:v>
                </c:pt>
                <c:pt idx="2">
                  <c:v>1.98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33-4649-90CF-EA9817969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7022669463614355"/>
          <c:y val="2.6041666666666668E-2"/>
          <c:w val="0.60617828176883293"/>
          <c:h val="0.96875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rgbClr val="002060"/>
                </a:gs>
                <a:gs pos="48000">
                  <a:srgbClr val="0070C0"/>
                </a:gs>
                <a:gs pos="100000">
                  <a:srgbClr val="00B0F0"/>
                </a:gs>
              </a:gsLst>
              <a:lin ang="10800000" scaled="1"/>
              <a:tileRect/>
            </a:gradFill>
            <a:ln>
              <a:gradFill flip="none" rotWithShape="1">
                <a:gsLst>
                  <a:gs pos="0">
                    <a:schemeClr val="accent1">
                      <a:lumMod val="0"/>
                      <a:lumOff val="100000"/>
                    </a:schemeClr>
                  </a:gs>
                  <a:gs pos="33000">
                    <a:schemeClr val="accent1">
                      <a:lumMod val="0"/>
                      <a:lumOff val="100000"/>
                    </a:schemeClr>
                  </a:gs>
                  <a:gs pos="100000">
                    <a:schemeClr val="accent1">
                      <a:lumMod val="100000"/>
                    </a:schemeClr>
                  </a:gs>
                </a:gsLst>
                <a:lin ang="0" scaled="0"/>
                <a:tileRect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('WS 11'!$C$29,'WS 11'!$C$37,'WS 11'!$C$45,'WS 11'!$C$53,'WS 11'!$C$61)</c:f>
              <c:strCache>
                <c:ptCount val="5"/>
                <c:pt idx="0">
                  <c:v>Top Management Commitment</c:v>
                </c:pt>
                <c:pt idx="1">
                  <c:v>Departmental Heads' Commitment</c:v>
                </c:pt>
                <c:pt idx="2">
                  <c:v>Managerial Team's Commitment</c:v>
                </c:pt>
                <c:pt idx="3">
                  <c:v>Administrative support</c:v>
                </c:pt>
                <c:pt idx="4">
                  <c:v>#REF!</c:v>
                </c:pt>
              </c:strCache>
            </c:strRef>
          </c:cat>
          <c:val>
            <c:numRef>
              <c:f>('WS 11'!$D$29,'WS 11'!$D$37,'WS 11'!$D$45,'WS 11'!$D$53,'WS 11'!$D$61)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91-4840-AAF6-0E49FA78F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254606832"/>
        <c:axId val="1254601936"/>
      </c:barChart>
      <c:catAx>
        <c:axId val="12546068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601936"/>
        <c:crosses val="autoZero"/>
        <c:auto val="1"/>
        <c:lblAlgn val="ctr"/>
        <c:lblOffset val="100"/>
        <c:noMultiLvlLbl val="0"/>
      </c:catAx>
      <c:valAx>
        <c:axId val="1254601936"/>
        <c:scaling>
          <c:orientation val="minMax"/>
          <c:max val="1"/>
        </c:scaling>
        <c:delete val="1"/>
        <c:axPos val="t"/>
        <c:numFmt formatCode="0%" sourceLinked="1"/>
        <c:majorTickMark val="out"/>
        <c:minorTickMark val="none"/>
        <c:tickLblPos val="nextTo"/>
        <c:crossAx val="125460683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'WS 11'!$M$21</c:f>
              <c:strCache>
                <c:ptCount val="1"/>
                <c:pt idx="0">
                  <c:v>Very Poor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'WS 11'!$N$21</c:f>
              <c:numCache>
                <c:formatCode>General</c:formatCode>
                <c:ptCount val="1"/>
                <c:pt idx="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3-4F85-9608-FD089EC0EFAF}"/>
            </c:ext>
          </c:extLst>
        </c:ser>
        <c:ser>
          <c:idx val="1"/>
          <c:order val="1"/>
          <c:tx>
            <c:strRef>
              <c:f>'WS 11'!$M$22</c:f>
              <c:strCache>
                <c:ptCount val="1"/>
                <c:pt idx="0">
                  <c:v>Poor</c:v>
                </c:pt>
              </c:strCache>
            </c:strRef>
          </c:tx>
          <c:spPr>
            <a:solidFill>
              <a:srgbClr val="FF6969"/>
            </a:solidFill>
            <a:ln>
              <a:noFill/>
            </a:ln>
            <a:effectLst/>
          </c:spPr>
          <c:invertIfNegative val="0"/>
          <c:val>
            <c:numRef>
              <c:f>'WS 11'!$N$22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93-4F85-9608-FD089EC0EFAF}"/>
            </c:ext>
          </c:extLst>
        </c:ser>
        <c:ser>
          <c:idx val="2"/>
          <c:order val="2"/>
          <c:tx>
            <c:strRef>
              <c:f>'WS 11'!$M$23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'WS 11'!$N$23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93-4F85-9608-FD089EC0EFAF}"/>
            </c:ext>
          </c:extLst>
        </c:ser>
        <c:ser>
          <c:idx val="3"/>
          <c:order val="3"/>
          <c:tx>
            <c:strRef>
              <c:f>'WS 11'!$M$24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'WS 11'!$N$24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93-4F85-9608-FD089EC0EFAF}"/>
            </c:ext>
          </c:extLst>
        </c:ser>
        <c:ser>
          <c:idx val="4"/>
          <c:order val="4"/>
          <c:tx>
            <c:strRef>
              <c:f>'WS 11'!$M$25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093-4F85-9608-FD089EC0EFAF}"/>
              </c:ext>
            </c:extLst>
          </c:dPt>
          <c:val>
            <c:numRef>
              <c:f>'WS 11'!$N$25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93-4F85-9608-FD089EC0E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4611184"/>
        <c:axId val="1254602480"/>
      </c:barChart>
      <c:catAx>
        <c:axId val="12546111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54602480"/>
        <c:crosses val="autoZero"/>
        <c:auto val="1"/>
        <c:lblAlgn val="ctr"/>
        <c:lblOffset val="100"/>
        <c:noMultiLvlLbl val="0"/>
      </c:catAx>
      <c:valAx>
        <c:axId val="1254602480"/>
        <c:scaling>
          <c:orientation val="minMax"/>
          <c:max val="20"/>
        </c:scaling>
        <c:delete val="1"/>
        <c:axPos val="l"/>
        <c:numFmt formatCode="General" sourceLinked="1"/>
        <c:majorTickMark val="none"/>
        <c:minorTickMark val="none"/>
        <c:tickLblPos val="nextTo"/>
        <c:crossAx val="125461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effectLst>
              <a:softEdge rad="0"/>
            </a:effectLst>
            <a:scene3d>
              <a:camera prst="orthographicFront"/>
              <a:lightRig rig="threePt" dir="t"/>
            </a:scene3d>
            <a:sp3d>
              <a:bevelT w="31750"/>
              <a:bevelB w="19050"/>
            </a:sp3d>
          </c:spPr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1-67E3-4ABA-8672-622AC79A00D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3-67E3-4ABA-8672-622AC79A00DC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5-67E3-4ABA-8672-622AC79A00DC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7-67E3-4ABA-8672-622AC79A00DC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 w="31750"/>
                <a:bevelB w="19050"/>
              </a:sp3d>
            </c:spPr>
            <c:extLst>
              <c:ext xmlns:c16="http://schemas.microsoft.com/office/drawing/2014/chart" uri="{C3380CC4-5D6E-409C-BE32-E72D297353CC}">
                <c16:uniqueId val="{00000009-67E3-4ABA-8672-622AC79A00DC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B-67E3-4ABA-8672-622AC79A00DC}"/>
              </c:ext>
            </c:extLst>
          </c:dPt>
          <c:cat>
            <c:strRef>
              <c:f>'WS 12'!$M$21:$M$26</c:f>
              <c:strCache>
                <c:ptCount val="6"/>
                <c:pt idx="0">
                  <c:v>Very Poor</c:v>
                </c:pt>
                <c:pt idx="1">
                  <c:v>Poor</c:v>
                </c:pt>
                <c:pt idx="2">
                  <c:v>Average</c:v>
                </c:pt>
                <c:pt idx="3">
                  <c:v>Good</c:v>
                </c:pt>
                <c:pt idx="4">
                  <c:v>Very Good</c:v>
                </c:pt>
                <c:pt idx="5">
                  <c:v>Remain</c:v>
                </c:pt>
              </c:strCache>
            </c:strRef>
          </c:cat>
          <c:val>
            <c:numRef>
              <c:f>'WS 12'!$N$21:$N$26</c:f>
              <c:numCache>
                <c:formatCode>General</c:formatCode>
                <c:ptCount val="6"/>
                <c:pt idx="0">
                  <c:v>35</c:v>
                </c:pt>
                <c:pt idx="1">
                  <c:v>20</c:v>
                </c:pt>
                <c:pt idx="2">
                  <c:v>20</c:v>
                </c:pt>
                <c:pt idx="3">
                  <c:v>15</c:v>
                </c:pt>
                <c:pt idx="4">
                  <c:v>10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7E3-4ABA-8672-622AC79A0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38100"/>
              <a:bevelB w="31750"/>
            </a:sp3d>
          </c:spPr>
          <c:explosion val="3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345-492C-A8D4-E443C09DECCA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38100"/>
                <a:bevelB w="31750"/>
              </a:sp3d>
            </c:spPr>
            <c:extLst>
              <c:ext xmlns:c16="http://schemas.microsoft.com/office/drawing/2014/chart" uri="{C3380CC4-5D6E-409C-BE32-E72D297353CC}">
                <c16:uniqueId val="{00000003-4345-492C-A8D4-E443C09DECCA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345-492C-A8D4-E443C09DECCA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45-492C-A8D4-E443C09DECCA}"/>
                </c:ext>
              </c:extLst>
            </c:dLbl>
            <c:dLbl>
              <c:idx val="1"/>
              <c:tx>
                <c:strRef>
                  <c:f>'WS 12'!$N$16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{867D9038-C13E-4AC4-8F1A-733F567F6EE0}</c15:txfldGUID>
                      <c15:f>'WS 12'!$N$16</c15:f>
                      <c15:dlblFieldTableCache>
                        <c:ptCount val="1"/>
                        <c:pt idx="0">
                          <c:v>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4345-492C-A8D4-E443C09DECC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345-492C-A8D4-E443C09DEC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'WS 12'!$M$16:$M$18</c:f>
              <c:strCache>
                <c:ptCount val="3"/>
                <c:pt idx="0">
                  <c:v>Value</c:v>
                </c:pt>
                <c:pt idx="1">
                  <c:v>Point </c:v>
                </c:pt>
                <c:pt idx="2">
                  <c:v>Remain</c:v>
                </c:pt>
              </c:strCache>
            </c:strRef>
          </c:cat>
          <c:val>
            <c:numRef>
              <c:f>'WS 12'!$N$16:$N$18</c:f>
              <c:numCache>
                <c:formatCode>0%</c:formatCode>
                <c:ptCount val="3"/>
                <c:pt idx="0">
                  <c:v>0</c:v>
                </c:pt>
                <c:pt idx="1">
                  <c:v>0.02</c:v>
                </c:pt>
                <c:pt idx="2">
                  <c:v>1.98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45-492C-A8D4-E443C09DE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7022669463614355"/>
          <c:y val="2.6041666666666668E-2"/>
          <c:w val="0.60617828176883293"/>
          <c:h val="0.96875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rgbClr val="002060"/>
                </a:gs>
                <a:gs pos="48000">
                  <a:srgbClr val="0070C0"/>
                </a:gs>
                <a:gs pos="100000">
                  <a:srgbClr val="00B0F0"/>
                </a:gs>
              </a:gsLst>
              <a:lin ang="10800000" scaled="1"/>
              <a:tileRect/>
            </a:gradFill>
            <a:ln>
              <a:gradFill flip="none" rotWithShape="1">
                <a:gsLst>
                  <a:gs pos="0">
                    <a:schemeClr val="accent1">
                      <a:lumMod val="0"/>
                      <a:lumOff val="100000"/>
                    </a:schemeClr>
                  </a:gs>
                  <a:gs pos="33000">
                    <a:schemeClr val="accent1">
                      <a:lumMod val="0"/>
                      <a:lumOff val="100000"/>
                    </a:schemeClr>
                  </a:gs>
                  <a:gs pos="100000">
                    <a:schemeClr val="accent1">
                      <a:lumMod val="100000"/>
                    </a:schemeClr>
                  </a:gs>
                </a:gsLst>
                <a:lin ang="0" scaled="0"/>
                <a:tileRect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('WS 12'!$C$29,'WS 12'!$C$37,'WS 12'!$C$45,'WS 12'!$C$53,'WS 12'!$C$61)</c:f>
              <c:strCache>
                <c:ptCount val="5"/>
                <c:pt idx="0">
                  <c:v>Top Management Commitment</c:v>
                </c:pt>
                <c:pt idx="1">
                  <c:v>Departmental Heads' Commitment</c:v>
                </c:pt>
                <c:pt idx="2">
                  <c:v>Managerial Team's Commitment</c:v>
                </c:pt>
                <c:pt idx="3">
                  <c:v>Administrative support</c:v>
                </c:pt>
                <c:pt idx="4">
                  <c:v>#REF!</c:v>
                </c:pt>
              </c:strCache>
            </c:strRef>
          </c:cat>
          <c:val>
            <c:numRef>
              <c:f>('WS 12'!$D$29,'WS 12'!$D$37,'WS 12'!$D$45,'WS 12'!$D$53,'WS 12'!$D$61)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F-4A42-998A-AD12A0A59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254603024"/>
        <c:axId val="1254604112"/>
      </c:barChart>
      <c:catAx>
        <c:axId val="12546030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604112"/>
        <c:crosses val="autoZero"/>
        <c:auto val="1"/>
        <c:lblAlgn val="ctr"/>
        <c:lblOffset val="100"/>
        <c:noMultiLvlLbl val="0"/>
      </c:catAx>
      <c:valAx>
        <c:axId val="1254604112"/>
        <c:scaling>
          <c:orientation val="minMax"/>
          <c:max val="1"/>
        </c:scaling>
        <c:delete val="1"/>
        <c:axPos val="t"/>
        <c:numFmt formatCode="0%" sourceLinked="1"/>
        <c:majorTickMark val="out"/>
        <c:minorTickMark val="none"/>
        <c:tickLblPos val="nextTo"/>
        <c:crossAx val="125460302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'WS 12'!$M$21</c:f>
              <c:strCache>
                <c:ptCount val="1"/>
                <c:pt idx="0">
                  <c:v>Very Poor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'WS 12'!$N$21</c:f>
              <c:numCache>
                <c:formatCode>General</c:formatCode>
                <c:ptCount val="1"/>
                <c:pt idx="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B-427E-8136-8B34211E4D0B}"/>
            </c:ext>
          </c:extLst>
        </c:ser>
        <c:ser>
          <c:idx val="1"/>
          <c:order val="1"/>
          <c:tx>
            <c:strRef>
              <c:f>'WS 12'!$M$22</c:f>
              <c:strCache>
                <c:ptCount val="1"/>
                <c:pt idx="0">
                  <c:v>Poor</c:v>
                </c:pt>
              </c:strCache>
            </c:strRef>
          </c:tx>
          <c:spPr>
            <a:solidFill>
              <a:srgbClr val="FF6969"/>
            </a:solidFill>
            <a:ln>
              <a:noFill/>
            </a:ln>
            <a:effectLst/>
          </c:spPr>
          <c:invertIfNegative val="0"/>
          <c:val>
            <c:numRef>
              <c:f>'WS 12'!$N$22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6B-427E-8136-8B34211E4D0B}"/>
            </c:ext>
          </c:extLst>
        </c:ser>
        <c:ser>
          <c:idx val="2"/>
          <c:order val="2"/>
          <c:tx>
            <c:strRef>
              <c:f>'WS 12'!$M$23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'WS 12'!$N$23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6B-427E-8136-8B34211E4D0B}"/>
            </c:ext>
          </c:extLst>
        </c:ser>
        <c:ser>
          <c:idx val="3"/>
          <c:order val="3"/>
          <c:tx>
            <c:strRef>
              <c:f>'WS 12'!$M$24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'WS 12'!$N$24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6B-427E-8136-8B34211E4D0B}"/>
            </c:ext>
          </c:extLst>
        </c:ser>
        <c:ser>
          <c:idx val="4"/>
          <c:order val="4"/>
          <c:tx>
            <c:strRef>
              <c:f>'WS 12'!$M$25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46B-427E-8136-8B34211E4D0B}"/>
              </c:ext>
            </c:extLst>
          </c:dPt>
          <c:val>
            <c:numRef>
              <c:f>'WS 12'!$N$25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6B-427E-8136-8B34211E4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4605200"/>
        <c:axId val="1254610096"/>
      </c:barChart>
      <c:catAx>
        <c:axId val="12546052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54610096"/>
        <c:crosses val="autoZero"/>
        <c:auto val="1"/>
        <c:lblAlgn val="ctr"/>
        <c:lblOffset val="100"/>
        <c:noMultiLvlLbl val="0"/>
      </c:catAx>
      <c:valAx>
        <c:axId val="1254610096"/>
        <c:scaling>
          <c:orientation val="minMax"/>
          <c:max val="20"/>
        </c:scaling>
        <c:delete val="1"/>
        <c:axPos val="l"/>
        <c:numFmt formatCode="General" sourceLinked="1"/>
        <c:majorTickMark val="none"/>
        <c:minorTickMark val="none"/>
        <c:tickLblPos val="nextTo"/>
        <c:crossAx val="125460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microsoft.com/office/2007/relationships/hdphoto" Target="../media/hdphoto1.wdp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microsoft.com/office/2007/relationships/hdphoto" Target="../media/hdphoto1.wdp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microsoft.com/office/2007/relationships/hdphoto" Target="../media/hdphoto1.wdp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microsoft.com/office/2007/relationships/hdphoto" Target="../media/hdphoto1.wdp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6.xml"/><Relationship Id="rId5" Type="http://schemas.openxmlformats.org/officeDocument/2006/relationships/chart" Target="../charts/chart25.xml"/><Relationship Id="rId4" Type="http://schemas.microsoft.com/office/2007/relationships/hdphoto" Target="../media/hdphoto1.wdp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microsoft.com/office/2007/relationships/hdphoto" Target="../media/hdphoto1.wdp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6" Type="http://schemas.openxmlformats.org/officeDocument/2006/relationships/chart" Target="../charts/chart34.xml"/><Relationship Id="rId5" Type="http://schemas.openxmlformats.org/officeDocument/2006/relationships/chart" Target="../charts/chart33.xml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424942</xdr:colOff>
      <xdr:row>2</xdr:row>
      <xdr:rowOff>17145</xdr:rowOff>
    </xdr:from>
    <xdr:to>
      <xdr:col>6</xdr:col>
      <xdr:colOff>1895475</xdr:colOff>
      <xdr:row>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211" b="89474" l="1398" r="99224">
                      <a14:foregroundMark x1="2640" y1="32237" x2="2640" y2="32237"/>
                      <a14:foregroundMark x1="2329" y1="46053" x2="2329" y2="46053"/>
                      <a14:foregroundMark x1="1786" y1="51316" x2="1786" y2="51316"/>
                      <a14:foregroundMark x1="1475" y1="66447" x2="1475" y2="66447"/>
                      <a14:foregroundMark x1="4814" y1="68421" x2="4814" y2="68421"/>
                      <a14:foregroundMark x1="3028" y1="43421" x2="3028" y2="43421"/>
                      <a14:foregroundMark x1="2407" y1="30263" x2="2407" y2="30263"/>
                      <a14:foregroundMark x1="3960" y1="13158" x2="3960" y2="13158"/>
                      <a14:foregroundMark x1="4658" y1="13816" x2="4658" y2="13816"/>
                      <a14:foregroundMark x1="3106" y1="16447" x2="3106" y2="16447"/>
                      <a14:foregroundMark x1="5202" y1="24342" x2="5202" y2="24342"/>
                      <a14:foregroundMark x1="5978" y1="36842" x2="5978" y2="36842"/>
                      <a14:foregroundMark x1="8075" y1="56579" x2="8075" y2="56579"/>
                      <a14:foregroundMark x1="9006" y1="19079" x2="9006" y2="19079"/>
                      <a14:foregroundMark x1="11180" y1="47368" x2="11180" y2="47368"/>
                      <a14:foregroundMark x1="11413" y1="30263" x2="11413" y2="30263"/>
                      <a14:foregroundMark x1="12888" y1="23026" x2="12888" y2="23026"/>
                      <a14:foregroundMark x1="10559" y1="36842" x2="10559" y2="36842"/>
                      <a14:foregroundMark x1="12189" y1="63816" x2="12189" y2="63816"/>
                      <a14:foregroundMark x1="10637" y1="63816" x2="10637" y2="63816"/>
                      <a14:foregroundMark x1="13199" y1="55921" x2="13199" y2="55921"/>
                      <a14:foregroundMark x1="16537" y1="46711" x2="16537" y2="46711"/>
                      <a14:foregroundMark x1="19099" y1="49342" x2="19099" y2="49342"/>
                      <a14:foregroundMark x1="18323" y1="63158" x2="18323" y2="63158"/>
                      <a14:foregroundMark x1="16304" y1="47368" x2="16304" y2="47368"/>
                      <a14:foregroundMark x1="20419" y1="48026" x2="20419" y2="48026"/>
                      <a14:foregroundMark x1="22826" y1="55263" x2="22826" y2="55263"/>
                      <a14:foregroundMark x1="11568" y1="49342" x2="16770" y2="49342"/>
                      <a14:foregroundMark x1="16770" y1="49342" x2="40528" y2="50000"/>
                      <a14:foregroundMark x1="40528" y1="50000" x2="50000" y2="46053"/>
                      <a14:foregroundMark x1="76553" y1="30263" x2="86957" y2="29605"/>
                      <a14:foregroundMark x1="86957" y1="29605" x2="88043" y2="30263"/>
                      <a14:foregroundMark x1="87112" y1="59211" x2="92314" y2="57237"/>
                      <a14:foregroundMark x1="92314" y1="57237" x2="96739" y2="59211"/>
                      <a14:foregroundMark x1="80978" y1="82237" x2="91071" y2="84211"/>
                      <a14:foregroundMark x1="91071" y1="84211" x2="99224" y2="83553"/>
                      <a14:foregroundMark x1="53494" y1="40132" x2="73913" y2="63816"/>
                      <a14:foregroundMark x1="93944" y1="22368" x2="93944" y2="22368"/>
                      <a14:foregroundMark x1="95575" y1="23026" x2="95575" y2="23026"/>
                      <a14:foregroundMark x1="94255" y1="24342" x2="94255" y2="24342"/>
                      <a14:foregroundMark x1="98059" y1="28947" x2="98059" y2="28947"/>
                      <a14:foregroundMark x1="96972" y1="30921" x2="96972" y2="30921"/>
                      <a14:backgroundMark x1="95807" y1="13158" x2="95807" y2="13158"/>
                      <a14:backgroundMark x1="94565" y1="6579" x2="98447" y2="21053"/>
                      <a14:backgroundMark x1="99522" y1="28947" x2="99612" y2="29605"/>
                      <a14:backgroundMark x1="98447" y1="21053" x2="99522" y2="28947"/>
                    </a14:backgroundRemoval>
                  </a14:imgEffect>
                </a14:imgLayer>
              </a14:imgProps>
            </a:ext>
          </a:extLst>
        </a:blip>
        <a:srcRect r="46767"/>
        <a:stretch/>
      </xdr:blipFill>
      <xdr:spPr>
        <a:xfrm>
          <a:off x="6616192" y="674370"/>
          <a:ext cx="1470533" cy="335280"/>
        </a:xfrm>
        <a:prstGeom prst="rect">
          <a:avLst/>
        </a:prstGeom>
      </xdr:spPr>
    </xdr:pic>
    <xdr:clientData/>
  </xdr:twoCellAnchor>
  <xdr:twoCellAnchor>
    <xdr:from>
      <xdr:col>0</xdr:col>
      <xdr:colOff>7620</xdr:colOff>
      <xdr:row>22</xdr:row>
      <xdr:rowOff>7620</xdr:rowOff>
    </xdr:from>
    <xdr:to>
      <xdr:col>6</xdr:col>
      <xdr:colOff>0</xdr:colOff>
      <xdr:row>36</xdr:row>
      <xdr:rowOff>147300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22860</xdr:colOff>
      <xdr:row>12</xdr:row>
      <xdr:rowOff>15240</xdr:rowOff>
    </xdr:from>
    <xdr:to>
      <xdr:col>6</xdr:col>
      <xdr:colOff>0</xdr:colOff>
      <xdr:row>21</xdr:row>
      <xdr:rowOff>169320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12</xdr:row>
      <xdr:rowOff>91440</xdr:rowOff>
    </xdr:from>
    <xdr:to>
      <xdr:col>7</xdr:col>
      <xdr:colOff>158340</xdr:colOff>
      <xdr:row>26</xdr:row>
      <xdr:rowOff>115500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6813550" y="2625090"/>
          <a:ext cx="2634840" cy="2608510"/>
          <a:chOff x="11338560" y="594360"/>
          <a:chExt cx="2772000" cy="2592000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GraphicFramePr>
            <a:graphicFrameLocks noChangeAspect="1"/>
          </xdr:cNvGraphicFramePr>
        </xdr:nvGraphicFramePr>
        <xdr:xfrm>
          <a:off x="11567160" y="815340"/>
          <a:ext cx="2310000" cy="216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GraphicFramePr>
            <a:graphicFrameLocks noChangeAspect="1"/>
          </xdr:cNvGraphicFramePr>
        </xdr:nvGraphicFramePr>
        <xdr:xfrm>
          <a:off x="11338560" y="594360"/>
          <a:ext cx="2772000" cy="2592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GrpSpPr/>
        </xdr:nvGrpSpPr>
        <xdr:grpSpPr>
          <a:xfrm>
            <a:off x="11521440" y="981981"/>
            <a:ext cx="2400300" cy="1853379"/>
            <a:chOff x="5372889" y="1060103"/>
            <a:chExt cx="2673565" cy="1996921"/>
          </a:xfrm>
          <a:effectLst/>
        </xdr:grpSpPr>
        <xdr:sp macro="" textlink="">
          <xdr:nvSpPr>
            <xdr:cNvPr id="9" name="Block Arc 8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>
            <a:xfrm>
              <a:off x="5552950" y="1060103"/>
              <a:ext cx="2325711" cy="1996921"/>
            </a:xfrm>
            <a:prstGeom prst="blockArc">
              <a:avLst>
                <a:gd name="adj1" fmla="val 10823306"/>
                <a:gd name="adj2" fmla="val 21570343"/>
                <a:gd name="adj3" fmla="val 2669"/>
              </a:avLst>
            </a:prstGeom>
            <a:solidFill>
              <a:srgbClr val="78858C"/>
            </a:solidFill>
            <a:ln w="12700" cap="flat" cmpd="sng" algn="ctr">
              <a:noFill/>
              <a:prstDash val="solid"/>
              <a:miter lim="800000"/>
            </a:ln>
            <a:effectLst>
              <a:outerShdw blurRad="63500" dist="38100" algn="tl" rotWithShape="0">
                <a:prstClr val="black">
                  <a:alpha val="10000"/>
                </a:prstClr>
              </a:outerShdw>
            </a:effectLst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  <xdr:sp macro="" textlink="">
          <xdr:nvSpPr>
            <xdr:cNvPr id="10" name="Oval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/>
          </xdr:nvSpPr>
          <xdr:spPr>
            <a:xfrm>
              <a:off x="6610742" y="1920253"/>
              <a:ext cx="220308" cy="208389"/>
            </a:xfrm>
            <a:prstGeom prst="ellipse">
              <a:avLst/>
            </a:prstGeom>
            <a:solidFill>
              <a:srgbClr val="6F6F6F"/>
            </a:solidFill>
            <a:ln w="12700" cap="flat" cmpd="sng" algn="ctr">
              <a:solidFill>
                <a:srgbClr val="78858C"/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5372889" y="2111923"/>
              <a:ext cx="2673565" cy="29556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200" b="1" i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ahnschrift SemiBold" panose="020B0502040204020203" pitchFamily="34" charset="0"/>
                  <a:ea typeface="Cambria" panose="02040503050406030204" pitchFamily="18" charset="0"/>
                  <a:cs typeface="Cavolini" panose="03000502040302020204" pitchFamily="66" charset="0"/>
                </a:rPr>
                <a:t> Client Commitment - Journey</a:t>
              </a:r>
              <a:endParaRPr lang="en-US" sz="1200" b="1" i="0">
                <a:solidFill>
                  <a:schemeClr val="tx1">
                    <a:lumMod val="75000"/>
                    <a:lumOff val="25000"/>
                  </a:schemeClr>
                </a:solidFill>
                <a:latin typeface="Bahnschrift SemiBold" panose="020B0502040204020203" pitchFamily="34" charset="0"/>
                <a:ea typeface="Cambria" panose="02040503050406030204" pitchFamily="18" charset="0"/>
                <a:cs typeface="Cavolini" panose="03000502040302020204" pitchFamily="66" charset="0"/>
              </a:endParaRPr>
            </a:p>
          </xdr:txBody>
        </xdr:sp>
      </xdr:grpSp>
    </xdr:grpSp>
    <xdr:clientData/>
  </xdr:twoCellAnchor>
  <xdr:twoCellAnchor>
    <xdr:from>
      <xdr:col>6</xdr:col>
      <xdr:colOff>15240</xdr:colOff>
      <xdr:row>22</xdr:row>
      <xdr:rowOff>99060</xdr:rowOff>
    </xdr:from>
    <xdr:to>
      <xdr:col>6</xdr:col>
      <xdr:colOff>2391240</xdr:colOff>
      <xdr:row>37</xdr:row>
      <xdr:rowOff>48240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906780</xdr:colOff>
      <xdr:row>21</xdr:row>
      <xdr:rowOff>64769</xdr:rowOff>
    </xdr:from>
    <xdr:to>
      <xdr:col>7</xdr:col>
      <xdr:colOff>60000</xdr:colOff>
      <xdr:row>22</xdr:row>
      <xdr:rowOff>171449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</xdr:colOff>
      <xdr:row>7</xdr:row>
      <xdr:rowOff>47625</xdr:rowOff>
    </xdr:from>
    <xdr:to>
      <xdr:col>2</xdr:col>
      <xdr:colOff>761999</xdr:colOff>
      <xdr:row>20</xdr:row>
      <xdr:rowOff>65018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71437" y="1531938"/>
          <a:ext cx="2770187" cy="2398643"/>
          <a:chOff x="11338560" y="594360"/>
          <a:chExt cx="2772000" cy="259200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>
            <a:graphicFrameLocks noChangeAspect="1"/>
          </xdr:cNvGraphicFramePr>
        </xdr:nvGraphicFramePr>
        <xdr:xfrm>
          <a:off x="11567160" y="815340"/>
          <a:ext cx="2310000" cy="216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GraphicFramePr>
            <a:graphicFrameLocks noChangeAspect="1"/>
          </xdr:cNvGraphicFramePr>
        </xdr:nvGraphicFramePr>
        <xdr:xfrm>
          <a:off x="11338560" y="594360"/>
          <a:ext cx="2772000" cy="2592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GrpSpPr/>
        </xdr:nvGrpSpPr>
        <xdr:grpSpPr>
          <a:xfrm>
            <a:off x="11734803" y="914572"/>
            <a:ext cx="1967384" cy="1958217"/>
            <a:chOff x="5610541" y="987470"/>
            <a:chExt cx="2191363" cy="2109878"/>
          </a:xfrm>
          <a:effectLst/>
        </xdr:grpSpPr>
        <xdr:sp macro="" textlink="">
          <xdr:nvSpPr>
            <xdr:cNvPr id="6" name="Block Arc 5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SpPr/>
          </xdr:nvSpPr>
          <xdr:spPr>
            <a:xfrm>
              <a:off x="5669713" y="987470"/>
              <a:ext cx="2132191" cy="2109878"/>
            </a:xfrm>
            <a:prstGeom prst="blockArc">
              <a:avLst>
                <a:gd name="adj1" fmla="val 10823306"/>
                <a:gd name="adj2" fmla="val 21570760"/>
                <a:gd name="adj3" fmla="val 1994"/>
              </a:avLst>
            </a:prstGeom>
            <a:solidFill>
              <a:srgbClr val="78858C"/>
            </a:solidFill>
            <a:ln w="12700" cap="flat" cmpd="sng" algn="ctr">
              <a:noFill/>
              <a:prstDash val="solid"/>
              <a:miter lim="800000"/>
            </a:ln>
            <a:effectLst>
              <a:outerShdw blurRad="63500" dist="38100" algn="tl" rotWithShape="0">
                <a:prstClr val="black">
                  <a:alpha val="10000"/>
                </a:prstClr>
              </a:outerShdw>
            </a:effectLst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  <xdr:sp macro="" textlink="">
          <xdr:nvSpPr>
            <xdr:cNvPr id="7" name="Oval 6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6610742" y="1920253"/>
              <a:ext cx="220308" cy="208389"/>
            </a:xfrm>
            <a:prstGeom prst="ellipse">
              <a:avLst/>
            </a:prstGeom>
            <a:solidFill>
              <a:srgbClr val="6F6F6F"/>
            </a:solidFill>
            <a:ln w="12700" cap="flat" cmpd="sng" algn="ctr">
              <a:solidFill>
                <a:srgbClr val="78858C"/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SpPr txBox="1"/>
          </xdr:nvSpPr>
          <xdr:spPr>
            <a:xfrm>
              <a:off x="5610541" y="2111923"/>
              <a:ext cx="2166893" cy="29556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400" b="1" i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ahnschrift SemiBold" panose="020B0502040204020203" pitchFamily="34" charset="0"/>
                  <a:ea typeface="Cambria" panose="02040503050406030204" pitchFamily="18" charset="0"/>
                  <a:cs typeface="Cavolini" panose="03000502040302020204" pitchFamily="66" charset="0"/>
                </a:rPr>
                <a:t> Client Commitment</a:t>
              </a:r>
              <a:endParaRPr lang="en-US" sz="1400" b="1" i="0">
                <a:solidFill>
                  <a:schemeClr val="tx1">
                    <a:lumMod val="75000"/>
                    <a:lumOff val="25000"/>
                  </a:schemeClr>
                </a:solidFill>
                <a:latin typeface="Bahnschrift SemiBold" panose="020B0502040204020203" pitchFamily="34" charset="0"/>
                <a:ea typeface="Cambria" panose="02040503050406030204" pitchFamily="18" charset="0"/>
                <a:cs typeface="Cavolini" panose="03000502040302020204" pitchFamily="66" charset="0"/>
              </a:endParaRPr>
            </a:p>
          </xdr:txBody>
        </xdr:sp>
      </xdr:grpSp>
    </xdr:grpSp>
    <xdr:clientData/>
  </xdr:twoCellAnchor>
  <xdr:twoCellAnchor editAs="oneCell">
    <xdr:from>
      <xdr:col>3</xdr:col>
      <xdr:colOff>161582</xdr:colOff>
      <xdr:row>2</xdr:row>
      <xdr:rowOff>66277</xdr:rowOff>
    </xdr:from>
    <xdr:to>
      <xdr:col>6</xdr:col>
      <xdr:colOff>230467</xdr:colOff>
      <xdr:row>4</xdr:row>
      <xdr:rowOff>161394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9211" b="89474" l="1398" r="99224">
                      <a14:foregroundMark x1="2640" y1="32237" x2="2640" y2="32237"/>
                      <a14:foregroundMark x1="2329" y1="46053" x2="2329" y2="46053"/>
                      <a14:foregroundMark x1="1786" y1="51316" x2="1786" y2="51316"/>
                      <a14:foregroundMark x1="1475" y1="66447" x2="1475" y2="66447"/>
                      <a14:foregroundMark x1="4814" y1="68421" x2="4814" y2="68421"/>
                      <a14:foregroundMark x1="3028" y1="43421" x2="3028" y2="43421"/>
                      <a14:foregroundMark x1="2407" y1="30263" x2="2407" y2="30263"/>
                      <a14:foregroundMark x1="3960" y1="13158" x2="3960" y2="13158"/>
                      <a14:foregroundMark x1="4658" y1="13816" x2="4658" y2="13816"/>
                      <a14:foregroundMark x1="3106" y1="16447" x2="3106" y2="16447"/>
                      <a14:foregroundMark x1="5202" y1="24342" x2="5202" y2="24342"/>
                      <a14:foregroundMark x1="5978" y1="36842" x2="5978" y2="36842"/>
                      <a14:foregroundMark x1="8075" y1="56579" x2="8075" y2="56579"/>
                      <a14:foregroundMark x1="9006" y1="19079" x2="9006" y2="19079"/>
                      <a14:foregroundMark x1="11180" y1="47368" x2="11180" y2="47368"/>
                      <a14:foregroundMark x1="11413" y1="30263" x2="11413" y2="30263"/>
                      <a14:foregroundMark x1="12888" y1="23026" x2="12888" y2="23026"/>
                      <a14:foregroundMark x1="10559" y1="36842" x2="10559" y2="36842"/>
                      <a14:foregroundMark x1="12189" y1="63816" x2="12189" y2="63816"/>
                      <a14:foregroundMark x1="10637" y1="63816" x2="10637" y2="63816"/>
                      <a14:foregroundMark x1="13199" y1="55921" x2="13199" y2="55921"/>
                      <a14:foregroundMark x1="16537" y1="46711" x2="16537" y2="46711"/>
                      <a14:foregroundMark x1="19099" y1="49342" x2="19099" y2="49342"/>
                      <a14:foregroundMark x1="18323" y1="63158" x2="18323" y2="63158"/>
                      <a14:foregroundMark x1="16304" y1="47368" x2="16304" y2="47368"/>
                      <a14:foregroundMark x1="20419" y1="48026" x2="20419" y2="48026"/>
                      <a14:foregroundMark x1="22826" y1="55263" x2="22826" y2="55263"/>
                      <a14:foregroundMark x1="11568" y1="49342" x2="16770" y2="49342"/>
                      <a14:foregroundMark x1="16770" y1="49342" x2="40528" y2="50000"/>
                      <a14:foregroundMark x1="40528" y1="50000" x2="50000" y2="46053"/>
                      <a14:foregroundMark x1="76553" y1="30263" x2="86957" y2="29605"/>
                      <a14:foregroundMark x1="86957" y1="29605" x2="88043" y2="30263"/>
                      <a14:foregroundMark x1="87112" y1="59211" x2="92314" y2="57237"/>
                      <a14:foregroundMark x1="92314" y1="57237" x2="96739" y2="59211"/>
                      <a14:foregroundMark x1="80978" y1="82237" x2="91071" y2="84211"/>
                      <a14:foregroundMark x1="91071" y1="84211" x2="99224" y2="83553"/>
                      <a14:foregroundMark x1="53494" y1="40132" x2="73913" y2="63816"/>
                      <a14:foregroundMark x1="93944" y1="22368" x2="93944" y2="22368"/>
                      <a14:foregroundMark x1="95575" y1="23026" x2="95575" y2="23026"/>
                      <a14:foregroundMark x1="94255" y1="24342" x2="94255" y2="24342"/>
                      <a14:foregroundMark x1="98059" y1="28947" x2="98059" y2="28947"/>
                      <a14:foregroundMark x1="96972" y1="30921" x2="96972" y2="30921"/>
                      <a14:backgroundMark x1="95807" y1="13158" x2="95807" y2="13158"/>
                      <a14:backgroundMark x1="94565" y1="6579" x2="98447" y2="21053"/>
                      <a14:backgroundMark x1="99522" y1="28947" x2="99612" y2="29605"/>
                      <a14:backgroundMark x1="98447" y1="21053" x2="99522" y2="28947"/>
                    </a14:backgroundRemoval>
                  </a14:imgEffect>
                </a14:imgLayer>
              </a14:imgProps>
            </a:ext>
          </a:extLst>
        </a:blip>
        <a:srcRect r="46767"/>
        <a:stretch/>
      </xdr:blipFill>
      <xdr:spPr>
        <a:xfrm>
          <a:off x="6987832" y="722444"/>
          <a:ext cx="2249052" cy="515804"/>
        </a:xfrm>
        <a:prstGeom prst="rect">
          <a:avLst/>
        </a:prstGeom>
      </xdr:spPr>
    </xdr:pic>
    <xdr:clientData/>
  </xdr:twoCellAnchor>
  <xdr:twoCellAnchor>
    <xdr:from>
      <xdr:col>2</xdr:col>
      <xdr:colOff>1242391</xdr:colOff>
      <xdr:row>7</xdr:row>
      <xdr:rowOff>50469</xdr:rowOff>
    </xdr:from>
    <xdr:to>
      <xdr:col>6</xdr:col>
      <xdr:colOff>335611</xdr:colOff>
      <xdr:row>19</xdr:row>
      <xdr:rowOff>172389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2821782</xdr:colOff>
      <xdr:row>6</xdr:row>
      <xdr:rowOff>114300</xdr:rowOff>
    </xdr:from>
    <xdr:to>
      <xdr:col>7</xdr:col>
      <xdr:colOff>555154</xdr:colOff>
      <xdr:row>7</xdr:row>
      <xdr:rowOff>53340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</xdr:colOff>
      <xdr:row>7</xdr:row>
      <xdr:rowOff>47625</xdr:rowOff>
    </xdr:from>
    <xdr:to>
      <xdr:col>2</xdr:col>
      <xdr:colOff>761999</xdr:colOff>
      <xdr:row>20</xdr:row>
      <xdr:rowOff>65018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71437" y="1531938"/>
          <a:ext cx="2770187" cy="2398643"/>
          <a:chOff x="11338560" y="594360"/>
          <a:chExt cx="2772000" cy="259200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>
            <a:graphicFrameLocks noChangeAspect="1"/>
          </xdr:cNvGraphicFramePr>
        </xdr:nvGraphicFramePr>
        <xdr:xfrm>
          <a:off x="11567160" y="815340"/>
          <a:ext cx="2310000" cy="216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GraphicFramePr>
            <a:graphicFrameLocks noChangeAspect="1"/>
          </xdr:cNvGraphicFramePr>
        </xdr:nvGraphicFramePr>
        <xdr:xfrm>
          <a:off x="11338560" y="594360"/>
          <a:ext cx="2772000" cy="2592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GrpSpPr/>
        </xdr:nvGrpSpPr>
        <xdr:grpSpPr>
          <a:xfrm>
            <a:off x="11734803" y="914572"/>
            <a:ext cx="1967384" cy="1958217"/>
            <a:chOff x="5610541" y="987470"/>
            <a:chExt cx="2191363" cy="2109878"/>
          </a:xfrm>
          <a:effectLst/>
        </xdr:grpSpPr>
        <xdr:sp macro="" textlink="">
          <xdr:nvSpPr>
            <xdr:cNvPr id="6" name="Block Arc 5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/>
          </xdr:nvSpPr>
          <xdr:spPr>
            <a:xfrm>
              <a:off x="5669713" y="987470"/>
              <a:ext cx="2132191" cy="2109878"/>
            </a:xfrm>
            <a:prstGeom prst="blockArc">
              <a:avLst>
                <a:gd name="adj1" fmla="val 10823306"/>
                <a:gd name="adj2" fmla="val 21570760"/>
                <a:gd name="adj3" fmla="val 1994"/>
              </a:avLst>
            </a:prstGeom>
            <a:solidFill>
              <a:srgbClr val="78858C"/>
            </a:solidFill>
            <a:ln w="12700" cap="flat" cmpd="sng" algn="ctr">
              <a:noFill/>
              <a:prstDash val="solid"/>
              <a:miter lim="800000"/>
            </a:ln>
            <a:effectLst>
              <a:outerShdw blurRad="63500" dist="38100" algn="tl" rotWithShape="0">
                <a:prstClr val="black">
                  <a:alpha val="10000"/>
                </a:prstClr>
              </a:outerShdw>
            </a:effectLst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  <xdr:sp macro="" textlink="">
          <xdr:nvSpPr>
            <xdr:cNvPr id="7" name="Oval 6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6610742" y="1920253"/>
              <a:ext cx="220308" cy="208389"/>
            </a:xfrm>
            <a:prstGeom prst="ellipse">
              <a:avLst/>
            </a:prstGeom>
            <a:solidFill>
              <a:srgbClr val="6F6F6F"/>
            </a:solidFill>
            <a:ln w="12700" cap="flat" cmpd="sng" algn="ctr">
              <a:solidFill>
                <a:srgbClr val="78858C"/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SpPr txBox="1"/>
          </xdr:nvSpPr>
          <xdr:spPr>
            <a:xfrm>
              <a:off x="5610541" y="2111923"/>
              <a:ext cx="2166893" cy="29556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400" b="1" i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ahnschrift SemiBold" panose="020B0502040204020203" pitchFamily="34" charset="0"/>
                  <a:ea typeface="Cambria" panose="02040503050406030204" pitchFamily="18" charset="0"/>
                  <a:cs typeface="Cavolini" panose="03000502040302020204" pitchFamily="66" charset="0"/>
                </a:rPr>
                <a:t> Client Commitment</a:t>
              </a:r>
              <a:endParaRPr lang="en-US" sz="1400" b="1" i="0">
                <a:solidFill>
                  <a:schemeClr val="tx1">
                    <a:lumMod val="75000"/>
                    <a:lumOff val="25000"/>
                  </a:schemeClr>
                </a:solidFill>
                <a:latin typeface="Bahnschrift SemiBold" panose="020B0502040204020203" pitchFamily="34" charset="0"/>
                <a:ea typeface="Cambria" panose="02040503050406030204" pitchFamily="18" charset="0"/>
                <a:cs typeface="Cavolini" panose="03000502040302020204" pitchFamily="66" charset="0"/>
              </a:endParaRPr>
            </a:p>
          </xdr:txBody>
        </xdr:sp>
      </xdr:grpSp>
    </xdr:grpSp>
    <xdr:clientData/>
  </xdr:twoCellAnchor>
  <xdr:twoCellAnchor editAs="oneCell">
    <xdr:from>
      <xdr:col>3</xdr:col>
      <xdr:colOff>161582</xdr:colOff>
      <xdr:row>2</xdr:row>
      <xdr:rowOff>66277</xdr:rowOff>
    </xdr:from>
    <xdr:to>
      <xdr:col>6</xdr:col>
      <xdr:colOff>230467</xdr:colOff>
      <xdr:row>4</xdr:row>
      <xdr:rowOff>161394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9211" b="89474" l="1398" r="99224">
                      <a14:foregroundMark x1="2640" y1="32237" x2="2640" y2="32237"/>
                      <a14:foregroundMark x1="2329" y1="46053" x2="2329" y2="46053"/>
                      <a14:foregroundMark x1="1786" y1="51316" x2="1786" y2="51316"/>
                      <a14:foregroundMark x1="1475" y1="66447" x2="1475" y2="66447"/>
                      <a14:foregroundMark x1="4814" y1="68421" x2="4814" y2="68421"/>
                      <a14:foregroundMark x1="3028" y1="43421" x2="3028" y2="43421"/>
                      <a14:foregroundMark x1="2407" y1="30263" x2="2407" y2="30263"/>
                      <a14:foregroundMark x1="3960" y1="13158" x2="3960" y2="13158"/>
                      <a14:foregroundMark x1="4658" y1="13816" x2="4658" y2="13816"/>
                      <a14:foregroundMark x1="3106" y1="16447" x2="3106" y2="16447"/>
                      <a14:foregroundMark x1="5202" y1="24342" x2="5202" y2="24342"/>
                      <a14:foregroundMark x1="5978" y1="36842" x2="5978" y2="36842"/>
                      <a14:foregroundMark x1="8075" y1="56579" x2="8075" y2="56579"/>
                      <a14:foregroundMark x1="9006" y1="19079" x2="9006" y2="19079"/>
                      <a14:foregroundMark x1="11180" y1="47368" x2="11180" y2="47368"/>
                      <a14:foregroundMark x1="11413" y1="30263" x2="11413" y2="30263"/>
                      <a14:foregroundMark x1="12888" y1="23026" x2="12888" y2="23026"/>
                      <a14:foregroundMark x1="10559" y1="36842" x2="10559" y2="36842"/>
                      <a14:foregroundMark x1="12189" y1="63816" x2="12189" y2="63816"/>
                      <a14:foregroundMark x1="10637" y1="63816" x2="10637" y2="63816"/>
                      <a14:foregroundMark x1="13199" y1="55921" x2="13199" y2="55921"/>
                      <a14:foregroundMark x1="16537" y1="46711" x2="16537" y2="46711"/>
                      <a14:foregroundMark x1="19099" y1="49342" x2="19099" y2="49342"/>
                      <a14:foregroundMark x1="18323" y1="63158" x2="18323" y2="63158"/>
                      <a14:foregroundMark x1="16304" y1="47368" x2="16304" y2="47368"/>
                      <a14:foregroundMark x1="20419" y1="48026" x2="20419" y2="48026"/>
                      <a14:foregroundMark x1="22826" y1="55263" x2="22826" y2="55263"/>
                      <a14:foregroundMark x1="11568" y1="49342" x2="16770" y2="49342"/>
                      <a14:foregroundMark x1="16770" y1="49342" x2="40528" y2="50000"/>
                      <a14:foregroundMark x1="40528" y1="50000" x2="50000" y2="46053"/>
                      <a14:foregroundMark x1="76553" y1="30263" x2="86957" y2="29605"/>
                      <a14:foregroundMark x1="86957" y1="29605" x2="88043" y2="30263"/>
                      <a14:foregroundMark x1="87112" y1="59211" x2="92314" y2="57237"/>
                      <a14:foregroundMark x1="92314" y1="57237" x2="96739" y2="59211"/>
                      <a14:foregroundMark x1="80978" y1="82237" x2="91071" y2="84211"/>
                      <a14:foregroundMark x1="91071" y1="84211" x2="99224" y2="83553"/>
                      <a14:foregroundMark x1="53494" y1="40132" x2="73913" y2="63816"/>
                      <a14:foregroundMark x1="93944" y1="22368" x2="93944" y2="22368"/>
                      <a14:foregroundMark x1="95575" y1="23026" x2="95575" y2="23026"/>
                      <a14:foregroundMark x1="94255" y1="24342" x2="94255" y2="24342"/>
                      <a14:foregroundMark x1="98059" y1="28947" x2="98059" y2="28947"/>
                      <a14:foregroundMark x1="96972" y1="30921" x2="96972" y2="30921"/>
                      <a14:backgroundMark x1="95807" y1="13158" x2="95807" y2="13158"/>
                      <a14:backgroundMark x1="94565" y1="6579" x2="98447" y2="21053"/>
                      <a14:backgroundMark x1="99522" y1="28947" x2="99612" y2="29605"/>
                      <a14:backgroundMark x1="98447" y1="21053" x2="99522" y2="28947"/>
                    </a14:backgroundRemoval>
                  </a14:imgEffect>
                </a14:imgLayer>
              </a14:imgProps>
            </a:ext>
          </a:extLst>
        </a:blip>
        <a:srcRect r="46767"/>
        <a:stretch/>
      </xdr:blipFill>
      <xdr:spPr>
        <a:xfrm>
          <a:off x="7133882" y="723502"/>
          <a:ext cx="2259635" cy="509454"/>
        </a:xfrm>
        <a:prstGeom prst="rect">
          <a:avLst/>
        </a:prstGeom>
      </xdr:spPr>
    </xdr:pic>
    <xdr:clientData/>
  </xdr:twoCellAnchor>
  <xdr:twoCellAnchor>
    <xdr:from>
      <xdr:col>2</xdr:col>
      <xdr:colOff>1242391</xdr:colOff>
      <xdr:row>7</xdr:row>
      <xdr:rowOff>50469</xdr:rowOff>
    </xdr:from>
    <xdr:to>
      <xdr:col>6</xdr:col>
      <xdr:colOff>335611</xdr:colOff>
      <xdr:row>19</xdr:row>
      <xdr:rowOff>172389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2821782</xdr:colOff>
      <xdr:row>6</xdr:row>
      <xdr:rowOff>114300</xdr:rowOff>
    </xdr:from>
    <xdr:to>
      <xdr:col>7</xdr:col>
      <xdr:colOff>555154</xdr:colOff>
      <xdr:row>7</xdr:row>
      <xdr:rowOff>53340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</xdr:colOff>
      <xdr:row>7</xdr:row>
      <xdr:rowOff>47625</xdr:rowOff>
    </xdr:from>
    <xdr:to>
      <xdr:col>2</xdr:col>
      <xdr:colOff>761999</xdr:colOff>
      <xdr:row>20</xdr:row>
      <xdr:rowOff>65018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71437" y="1531938"/>
          <a:ext cx="2770187" cy="2398643"/>
          <a:chOff x="11338560" y="594360"/>
          <a:chExt cx="2772000" cy="259200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>
            <a:graphicFrameLocks noChangeAspect="1"/>
          </xdr:cNvGraphicFramePr>
        </xdr:nvGraphicFramePr>
        <xdr:xfrm>
          <a:off x="11567160" y="815340"/>
          <a:ext cx="2310000" cy="216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GraphicFramePr>
            <a:graphicFrameLocks noChangeAspect="1"/>
          </xdr:cNvGraphicFramePr>
        </xdr:nvGraphicFramePr>
        <xdr:xfrm>
          <a:off x="11338560" y="594360"/>
          <a:ext cx="2772000" cy="2592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GrpSpPr/>
        </xdr:nvGrpSpPr>
        <xdr:grpSpPr>
          <a:xfrm>
            <a:off x="11734803" y="914572"/>
            <a:ext cx="1967384" cy="1958217"/>
            <a:chOff x="5610541" y="987470"/>
            <a:chExt cx="2191363" cy="2109878"/>
          </a:xfrm>
          <a:effectLst/>
        </xdr:grpSpPr>
        <xdr:sp macro="" textlink="">
          <xdr:nvSpPr>
            <xdr:cNvPr id="6" name="Block Arc 5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SpPr/>
          </xdr:nvSpPr>
          <xdr:spPr>
            <a:xfrm>
              <a:off x="5669713" y="987470"/>
              <a:ext cx="2132191" cy="2109878"/>
            </a:xfrm>
            <a:prstGeom prst="blockArc">
              <a:avLst>
                <a:gd name="adj1" fmla="val 10823306"/>
                <a:gd name="adj2" fmla="val 21570760"/>
                <a:gd name="adj3" fmla="val 1994"/>
              </a:avLst>
            </a:prstGeom>
            <a:solidFill>
              <a:srgbClr val="78858C"/>
            </a:solidFill>
            <a:ln w="12700" cap="flat" cmpd="sng" algn="ctr">
              <a:noFill/>
              <a:prstDash val="solid"/>
              <a:miter lim="800000"/>
            </a:ln>
            <a:effectLst>
              <a:outerShdw blurRad="63500" dist="38100" algn="tl" rotWithShape="0">
                <a:prstClr val="black">
                  <a:alpha val="10000"/>
                </a:prstClr>
              </a:outerShdw>
            </a:effectLst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  <xdr:sp macro="" textlink="">
          <xdr:nvSpPr>
            <xdr:cNvPr id="7" name="Oval 6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6610742" y="1920253"/>
              <a:ext cx="220308" cy="208389"/>
            </a:xfrm>
            <a:prstGeom prst="ellipse">
              <a:avLst/>
            </a:prstGeom>
            <a:solidFill>
              <a:srgbClr val="6F6F6F"/>
            </a:solidFill>
            <a:ln w="12700" cap="flat" cmpd="sng" algn="ctr">
              <a:solidFill>
                <a:srgbClr val="78858C"/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:cNvPr>
            <xdr:cNvSpPr txBox="1"/>
          </xdr:nvSpPr>
          <xdr:spPr>
            <a:xfrm>
              <a:off x="5610541" y="2111923"/>
              <a:ext cx="2166893" cy="29556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400" b="1" i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ahnschrift SemiBold" panose="020B0502040204020203" pitchFamily="34" charset="0"/>
                  <a:ea typeface="Cambria" panose="02040503050406030204" pitchFamily="18" charset="0"/>
                  <a:cs typeface="Cavolini" panose="03000502040302020204" pitchFamily="66" charset="0"/>
                </a:rPr>
                <a:t> Client Commitment</a:t>
              </a:r>
              <a:endParaRPr lang="en-US" sz="1400" b="1" i="0">
                <a:solidFill>
                  <a:schemeClr val="tx1">
                    <a:lumMod val="75000"/>
                    <a:lumOff val="25000"/>
                  </a:schemeClr>
                </a:solidFill>
                <a:latin typeface="Bahnschrift SemiBold" panose="020B0502040204020203" pitchFamily="34" charset="0"/>
                <a:ea typeface="Cambria" panose="02040503050406030204" pitchFamily="18" charset="0"/>
                <a:cs typeface="Cavolini" panose="03000502040302020204" pitchFamily="66" charset="0"/>
              </a:endParaRPr>
            </a:p>
          </xdr:txBody>
        </xdr:sp>
      </xdr:grpSp>
    </xdr:grpSp>
    <xdr:clientData/>
  </xdr:twoCellAnchor>
  <xdr:twoCellAnchor editAs="oneCell">
    <xdr:from>
      <xdr:col>3</xdr:col>
      <xdr:colOff>161582</xdr:colOff>
      <xdr:row>2</xdr:row>
      <xdr:rowOff>66277</xdr:rowOff>
    </xdr:from>
    <xdr:to>
      <xdr:col>6</xdr:col>
      <xdr:colOff>230467</xdr:colOff>
      <xdr:row>4</xdr:row>
      <xdr:rowOff>161394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9211" b="89474" l="1398" r="99224">
                      <a14:foregroundMark x1="2640" y1="32237" x2="2640" y2="32237"/>
                      <a14:foregroundMark x1="2329" y1="46053" x2="2329" y2="46053"/>
                      <a14:foregroundMark x1="1786" y1="51316" x2="1786" y2="51316"/>
                      <a14:foregroundMark x1="1475" y1="66447" x2="1475" y2="66447"/>
                      <a14:foregroundMark x1="4814" y1="68421" x2="4814" y2="68421"/>
                      <a14:foregroundMark x1="3028" y1="43421" x2="3028" y2="43421"/>
                      <a14:foregroundMark x1="2407" y1="30263" x2="2407" y2="30263"/>
                      <a14:foregroundMark x1="3960" y1="13158" x2="3960" y2="13158"/>
                      <a14:foregroundMark x1="4658" y1="13816" x2="4658" y2="13816"/>
                      <a14:foregroundMark x1="3106" y1="16447" x2="3106" y2="16447"/>
                      <a14:foregroundMark x1="5202" y1="24342" x2="5202" y2="24342"/>
                      <a14:foregroundMark x1="5978" y1="36842" x2="5978" y2="36842"/>
                      <a14:foregroundMark x1="8075" y1="56579" x2="8075" y2="56579"/>
                      <a14:foregroundMark x1="9006" y1="19079" x2="9006" y2="19079"/>
                      <a14:foregroundMark x1="11180" y1="47368" x2="11180" y2="47368"/>
                      <a14:foregroundMark x1="11413" y1="30263" x2="11413" y2="30263"/>
                      <a14:foregroundMark x1="12888" y1="23026" x2="12888" y2="23026"/>
                      <a14:foregroundMark x1="10559" y1="36842" x2="10559" y2="36842"/>
                      <a14:foregroundMark x1="12189" y1="63816" x2="12189" y2="63816"/>
                      <a14:foregroundMark x1="10637" y1="63816" x2="10637" y2="63816"/>
                      <a14:foregroundMark x1="13199" y1="55921" x2="13199" y2="55921"/>
                      <a14:foregroundMark x1="16537" y1="46711" x2="16537" y2="46711"/>
                      <a14:foregroundMark x1="19099" y1="49342" x2="19099" y2="49342"/>
                      <a14:foregroundMark x1="18323" y1="63158" x2="18323" y2="63158"/>
                      <a14:foregroundMark x1="16304" y1="47368" x2="16304" y2="47368"/>
                      <a14:foregroundMark x1="20419" y1="48026" x2="20419" y2="48026"/>
                      <a14:foregroundMark x1="22826" y1="55263" x2="22826" y2="55263"/>
                      <a14:foregroundMark x1="11568" y1="49342" x2="16770" y2="49342"/>
                      <a14:foregroundMark x1="16770" y1="49342" x2="40528" y2="50000"/>
                      <a14:foregroundMark x1="40528" y1="50000" x2="50000" y2="46053"/>
                      <a14:foregroundMark x1="76553" y1="30263" x2="86957" y2="29605"/>
                      <a14:foregroundMark x1="86957" y1="29605" x2="88043" y2="30263"/>
                      <a14:foregroundMark x1="87112" y1="59211" x2="92314" y2="57237"/>
                      <a14:foregroundMark x1="92314" y1="57237" x2="96739" y2="59211"/>
                      <a14:foregroundMark x1="80978" y1="82237" x2="91071" y2="84211"/>
                      <a14:foregroundMark x1="91071" y1="84211" x2="99224" y2="83553"/>
                      <a14:foregroundMark x1="53494" y1="40132" x2="73913" y2="63816"/>
                      <a14:foregroundMark x1="93944" y1="22368" x2="93944" y2="22368"/>
                      <a14:foregroundMark x1="95575" y1="23026" x2="95575" y2="23026"/>
                      <a14:foregroundMark x1="94255" y1="24342" x2="94255" y2="24342"/>
                      <a14:foregroundMark x1="98059" y1="28947" x2="98059" y2="28947"/>
                      <a14:foregroundMark x1="96972" y1="30921" x2="96972" y2="30921"/>
                      <a14:backgroundMark x1="95807" y1="13158" x2="95807" y2="13158"/>
                      <a14:backgroundMark x1="94565" y1="6579" x2="98447" y2="21053"/>
                      <a14:backgroundMark x1="99522" y1="28947" x2="99612" y2="29605"/>
                      <a14:backgroundMark x1="98447" y1="21053" x2="99522" y2="28947"/>
                    </a14:backgroundRemoval>
                  </a14:imgEffect>
                </a14:imgLayer>
              </a14:imgProps>
            </a:ext>
          </a:extLst>
        </a:blip>
        <a:srcRect r="46767"/>
        <a:stretch/>
      </xdr:blipFill>
      <xdr:spPr>
        <a:xfrm>
          <a:off x="7133882" y="723502"/>
          <a:ext cx="2259635" cy="509454"/>
        </a:xfrm>
        <a:prstGeom prst="rect">
          <a:avLst/>
        </a:prstGeom>
      </xdr:spPr>
    </xdr:pic>
    <xdr:clientData/>
  </xdr:twoCellAnchor>
  <xdr:twoCellAnchor>
    <xdr:from>
      <xdr:col>2</xdr:col>
      <xdr:colOff>1242391</xdr:colOff>
      <xdr:row>7</xdr:row>
      <xdr:rowOff>50469</xdr:rowOff>
    </xdr:from>
    <xdr:to>
      <xdr:col>6</xdr:col>
      <xdr:colOff>335611</xdr:colOff>
      <xdr:row>19</xdr:row>
      <xdr:rowOff>172389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2821782</xdr:colOff>
      <xdr:row>6</xdr:row>
      <xdr:rowOff>114300</xdr:rowOff>
    </xdr:from>
    <xdr:to>
      <xdr:col>7</xdr:col>
      <xdr:colOff>555154</xdr:colOff>
      <xdr:row>7</xdr:row>
      <xdr:rowOff>53340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</xdr:colOff>
      <xdr:row>7</xdr:row>
      <xdr:rowOff>47625</xdr:rowOff>
    </xdr:from>
    <xdr:to>
      <xdr:col>2</xdr:col>
      <xdr:colOff>761999</xdr:colOff>
      <xdr:row>20</xdr:row>
      <xdr:rowOff>65018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71437" y="1531938"/>
          <a:ext cx="2770187" cy="2398643"/>
          <a:chOff x="11338560" y="594360"/>
          <a:chExt cx="2772000" cy="259200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aphicFramePr>
            <a:graphicFrameLocks noChangeAspect="1"/>
          </xdr:cNvGraphicFramePr>
        </xdr:nvGraphicFramePr>
        <xdr:xfrm>
          <a:off x="11567160" y="815340"/>
          <a:ext cx="2310000" cy="216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GraphicFramePr>
            <a:graphicFrameLocks noChangeAspect="1"/>
          </xdr:cNvGraphicFramePr>
        </xdr:nvGraphicFramePr>
        <xdr:xfrm>
          <a:off x="11338560" y="594360"/>
          <a:ext cx="2772000" cy="2592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GrpSpPr/>
        </xdr:nvGrpSpPr>
        <xdr:grpSpPr>
          <a:xfrm>
            <a:off x="11734803" y="914572"/>
            <a:ext cx="1967384" cy="1958217"/>
            <a:chOff x="5610541" y="987470"/>
            <a:chExt cx="2191363" cy="2109878"/>
          </a:xfrm>
          <a:effectLst/>
        </xdr:grpSpPr>
        <xdr:sp macro="" textlink="">
          <xdr:nvSpPr>
            <xdr:cNvPr id="6" name="Block Arc 5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SpPr/>
          </xdr:nvSpPr>
          <xdr:spPr>
            <a:xfrm>
              <a:off x="5669713" y="987470"/>
              <a:ext cx="2132191" cy="2109878"/>
            </a:xfrm>
            <a:prstGeom prst="blockArc">
              <a:avLst>
                <a:gd name="adj1" fmla="val 10823306"/>
                <a:gd name="adj2" fmla="val 21570760"/>
                <a:gd name="adj3" fmla="val 1994"/>
              </a:avLst>
            </a:prstGeom>
            <a:solidFill>
              <a:srgbClr val="78858C"/>
            </a:solidFill>
            <a:ln w="12700" cap="flat" cmpd="sng" algn="ctr">
              <a:noFill/>
              <a:prstDash val="solid"/>
              <a:miter lim="800000"/>
            </a:ln>
            <a:effectLst>
              <a:outerShdw blurRad="63500" dist="38100" algn="tl" rotWithShape="0">
                <a:prstClr val="black">
                  <a:alpha val="10000"/>
                </a:prstClr>
              </a:outerShdw>
            </a:effectLst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  <xdr:sp macro="" textlink="">
          <xdr:nvSpPr>
            <xdr:cNvPr id="7" name="Oval 6">
              <a:extLst>
                <a:ext uri="{FF2B5EF4-FFF2-40B4-BE49-F238E27FC236}">
                  <a16:creationId xmlns:a16="http://schemas.microsoft.com/office/drawing/2014/main" id="{00000000-0008-0000-0400-000007000000}"/>
                </a:ext>
              </a:extLst>
            </xdr:cNvPr>
            <xdr:cNvSpPr/>
          </xdr:nvSpPr>
          <xdr:spPr>
            <a:xfrm>
              <a:off x="6610742" y="1920253"/>
              <a:ext cx="220308" cy="208389"/>
            </a:xfrm>
            <a:prstGeom prst="ellipse">
              <a:avLst/>
            </a:prstGeom>
            <a:solidFill>
              <a:srgbClr val="6F6F6F"/>
            </a:solidFill>
            <a:ln w="12700" cap="flat" cmpd="sng" algn="ctr">
              <a:solidFill>
                <a:srgbClr val="78858C"/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400-000008000000}"/>
                </a:ext>
              </a:extLst>
            </xdr:cNvPr>
            <xdr:cNvSpPr txBox="1"/>
          </xdr:nvSpPr>
          <xdr:spPr>
            <a:xfrm>
              <a:off x="5610541" y="2111923"/>
              <a:ext cx="2166893" cy="29556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400" b="1" i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ahnschrift SemiBold" panose="020B0502040204020203" pitchFamily="34" charset="0"/>
                  <a:ea typeface="Cambria" panose="02040503050406030204" pitchFamily="18" charset="0"/>
                  <a:cs typeface="Cavolini" panose="03000502040302020204" pitchFamily="66" charset="0"/>
                </a:rPr>
                <a:t> Client Commitment</a:t>
              </a:r>
              <a:endParaRPr lang="en-US" sz="1400" b="1" i="0">
                <a:solidFill>
                  <a:schemeClr val="tx1">
                    <a:lumMod val="75000"/>
                    <a:lumOff val="25000"/>
                  </a:schemeClr>
                </a:solidFill>
                <a:latin typeface="Bahnschrift SemiBold" panose="020B0502040204020203" pitchFamily="34" charset="0"/>
                <a:ea typeface="Cambria" panose="02040503050406030204" pitchFamily="18" charset="0"/>
                <a:cs typeface="Cavolini" panose="03000502040302020204" pitchFamily="66" charset="0"/>
              </a:endParaRPr>
            </a:p>
          </xdr:txBody>
        </xdr:sp>
      </xdr:grpSp>
    </xdr:grpSp>
    <xdr:clientData/>
  </xdr:twoCellAnchor>
  <xdr:twoCellAnchor editAs="oneCell">
    <xdr:from>
      <xdr:col>3</xdr:col>
      <xdr:colOff>161582</xdr:colOff>
      <xdr:row>2</xdr:row>
      <xdr:rowOff>66277</xdr:rowOff>
    </xdr:from>
    <xdr:to>
      <xdr:col>6</xdr:col>
      <xdr:colOff>230467</xdr:colOff>
      <xdr:row>4</xdr:row>
      <xdr:rowOff>161394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9211" b="89474" l="1398" r="99224">
                      <a14:foregroundMark x1="2640" y1="32237" x2="2640" y2="32237"/>
                      <a14:foregroundMark x1="2329" y1="46053" x2="2329" y2="46053"/>
                      <a14:foregroundMark x1="1786" y1="51316" x2="1786" y2="51316"/>
                      <a14:foregroundMark x1="1475" y1="66447" x2="1475" y2="66447"/>
                      <a14:foregroundMark x1="4814" y1="68421" x2="4814" y2="68421"/>
                      <a14:foregroundMark x1="3028" y1="43421" x2="3028" y2="43421"/>
                      <a14:foregroundMark x1="2407" y1="30263" x2="2407" y2="30263"/>
                      <a14:foregroundMark x1="3960" y1="13158" x2="3960" y2="13158"/>
                      <a14:foregroundMark x1="4658" y1="13816" x2="4658" y2="13816"/>
                      <a14:foregroundMark x1="3106" y1="16447" x2="3106" y2="16447"/>
                      <a14:foregroundMark x1="5202" y1="24342" x2="5202" y2="24342"/>
                      <a14:foregroundMark x1="5978" y1="36842" x2="5978" y2="36842"/>
                      <a14:foregroundMark x1="8075" y1="56579" x2="8075" y2="56579"/>
                      <a14:foregroundMark x1="9006" y1="19079" x2="9006" y2="19079"/>
                      <a14:foregroundMark x1="11180" y1="47368" x2="11180" y2="47368"/>
                      <a14:foregroundMark x1="11413" y1="30263" x2="11413" y2="30263"/>
                      <a14:foregroundMark x1="12888" y1="23026" x2="12888" y2="23026"/>
                      <a14:foregroundMark x1="10559" y1="36842" x2="10559" y2="36842"/>
                      <a14:foregroundMark x1="12189" y1="63816" x2="12189" y2="63816"/>
                      <a14:foregroundMark x1="10637" y1="63816" x2="10637" y2="63816"/>
                      <a14:foregroundMark x1="13199" y1="55921" x2="13199" y2="55921"/>
                      <a14:foregroundMark x1="16537" y1="46711" x2="16537" y2="46711"/>
                      <a14:foregroundMark x1="19099" y1="49342" x2="19099" y2="49342"/>
                      <a14:foregroundMark x1="18323" y1="63158" x2="18323" y2="63158"/>
                      <a14:foregroundMark x1="16304" y1="47368" x2="16304" y2="47368"/>
                      <a14:foregroundMark x1="20419" y1="48026" x2="20419" y2="48026"/>
                      <a14:foregroundMark x1="22826" y1="55263" x2="22826" y2="55263"/>
                      <a14:foregroundMark x1="11568" y1="49342" x2="16770" y2="49342"/>
                      <a14:foregroundMark x1="16770" y1="49342" x2="40528" y2="50000"/>
                      <a14:foregroundMark x1="40528" y1="50000" x2="50000" y2="46053"/>
                      <a14:foregroundMark x1="76553" y1="30263" x2="86957" y2="29605"/>
                      <a14:foregroundMark x1="86957" y1="29605" x2="88043" y2="30263"/>
                      <a14:foregroundMark x1="87112" y1="59211" x2="92314" y2="57237"/>
                      <a14:foregroundMark x1="92314" y1="57237" x2="96739" y2="59211"/>
                      <a14:foregroundMark x1="80978" y1="82237" x2="91071" y2="84211"/>
                      <a14:foregroundMark x1="91071" y1="84211" x2="99224" y2="83553"/>
                      <a14:foregroundMark x1="53494" y1="40132" x2="73913" y2="63816"/>
                      <a14:foregroundMark x1="93944" y1="22368" x2="93944" y2="22368"/>
                      <a14:foregroundMark x1="95575" y1="23026" x2="95575" y2="23026"/>
                      <a14:foregroundMark x1="94255" y1="24342" x2="94255" y2="24342"/>
                      <a14:foregroundMark x1="98059" y1="28947" x2="98059" y2="28947"/>
                      <a14:foregroundMark x1="96972" y1="30921" x2="96972" y2="30921"/>
                      <a14:backgroundMark x1="95807" y1="13158" x2="95807" y2="13158"/>
                      <a14:backgroundMark x1="94565" y1="6579" x2="98447" y2="21053"/>
                      <a14:backgroundMark x1="99522" y1="28947" x2="99612" y2="29605"/>
                      <a14:backgroundMark x1="98447" y1="21053" x2="99522" y2="28947"/>
                    </a14:backgroundRemoval>
                  </a14:imgEffect>
                </a14:imgLayer>
              </a14:imgProps>
            </a:ext>
          </a:extLst>
        </a:blip>
        <a:srcRect r="46767"/>
        <a:stretch/>
      </xdr:blipFill>
      <xdr:spPr>
        <a:xfrm>
          <a:off x="7133882" y="723502"/>
          <a:ext cx="2259635" cy="509454"/>
        </a:xfrm>
        <a:prstGeom prst="rect">
          <a:avLst/>
        </a:prstGeom>
      </xdr:spPr>
    </xdr:pic>
    <xdr:clientData/>
  </xdr:twoCellAnchor>
  <xdr:twoCellAnchor>
    <xdr:from>
      <xdr:col>2</xdr:col>
      <xdr:colOff>1242391</xdr:colOff>
      <xdr:row>7</xdr:row>
      <xdr:rowOff>50469</xdr:rowOff>
    </xdr:from>
    <xdr:to>
      <xdr:col>6</xdr:col>
      <xdr:colOff>335611</xdr:colOff>
      <xdr:row>19</xdr:row>
      <xdr:rowOff>172389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2821782</xdr:colOff>
      <xdr:row>6</xdr:row>
      <xdr:rowOff>114300</xdr:rowOff>
    </xdr:from>
    <xdr:to>
      <xdr:col>7</xdr:col>
      <xdr:colOff>555154</xdr:colOff>
      <xdr:row>7</xdr:row>
      <xdr:rowOff>53340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2</xdr:col>
      <xdr:colOff>1087980</xdr:colOff>
      <xdr:row>21</xdr:row>
      <xdr:rowOff>184080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0" y="1885950"/>
          <a:ext cx="2796130" cy="2603430"/>
          <a:chOff x="11338560" y="594360"/>
          <a:chExt cx="2772000" cy="259200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>
            <a:graphicFrameLocks noChangeAspect="1"/>
          </xdr:cNvGraphicFramePr>
        </xdr:nvGraphicFramePr>
        <xdr:xfrm>
          <a:off x="11567160" y="815340"/>
          <a:ext cx="2310000" cy="216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GraphicFramePr>
            <a:graphicFrameLocks noChangeAspect="1"/>
          </xdr:cNvGraphicFramePr>
        </xdr:nvGraphicFramePr>
        <xdr:xfrm>
          <a:off x="11338560" y="594360"/>
          <a:ext cx="2772000" cy="2592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GrpSpPr/>
        </xdr:nvGrpSpPr>
        <xdr:grpSpPr>
          <a:xfrm>
            <a:off x="11683097" y="857065"/>
            <a:ext cx="2088000" cy="2088000"/>
            <a:chOff x="5552950" y="925511"/>
            <a:chExt cx="2325711" cy="2249713"/>
          </a:xfrm>
          <a:effectLst/>
        </xdr:grpSpPr>
        <xdr:sp macro="" textlink="">
          <xdr:nvSpPr>
            <xdr:cNvPr id="6" name="Block Arc 5">
              <a:extLst>
                <a:ext uri="{FF2B5EF4-FFF2-40B4-BE49-F238E27FC236}">
                  <a16:creationId xmlns:a16="http://schemas.microsoft.com/office/drawing/2014/main" id="{00000000-0008-0000-0600-000006000000}"/>
                </a:ext>
              </a:extLst>
            </xdr:cNvPr>
            <xdr:cNvSpPr/>
          </xdr:nvSpPr>
          <xdr:spPr>
            <a:xfrm>
              <a:off x="5552950" y="925511"/>
              <a:ext cx="2325711" cy="2249713"/>
            </a:xfrm>
            <a:prstGeom prst="blockArc">
              <a:avLst>
                <a:gd name="adj1" fmla="val 10823306"/>
                <a:gd name="adj2" fmla="val 21570343"/>
                <a:gd name="adj3" fmla="val 2669"/>
              </a:avLst>
            </a:prstGeom>
            <a:solidFill>
              <a:srgbClr val="78858C"/>
            </a:solidFill>
            <a:ln w="12700" cap="flat" cmpd="sng" algn="ctr">
              <a:noFill/>
              <a:prstDash val="solid"/>
              <a:miter lim="800000"/>
            </a:ln>
            <a:effectLst>
              <a:outerShdw blurRad="63500" dist="38100" algn="tl" rotWithShape="0">
                <a:prstClr val="black">
                  <a:alpha val="10000"/>
                </a:prstClr>
              </a:outerShdw>
            </a:effectLst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  <xdr:sp macro="" textlink="">
          <xdr:nvSpPr>
            <xdr:cNvPr id="7" name="Oval 6">
              <a:extLst>
                <a:ext uri="{FF2B5EF4-FFF2-40B4-BE49-F238E27FC236}">
                  <a16:creationId xmlns:a16="http://schemas.microsoft.com/office/drawing/2014/main" id="{00000000-0008-0000-0600-000007000000}"/>
                </a:ext>
              </a:extLst>
            </xdr:cNvPr>
            <xdr:cNvSpPr/>
          </xdr:nvSpPr>
          <xdr:spPr>
            <a:xfrm>
              <a:off x="6610742" y="1920253"/>
              <a:ext cx="220308" cy="208389"/>
            </a:xfrm>
            <a:prstGeom prst="ellipse">
              <a:avLst/>
            </a:prstGeom>
            <a:solidFill>
              <a:srgbClr val="6F6F6F"/>
            </a:solidFill>
            <a:ln w="12700" cap="flat" cmpd="sng" algn="ctr">
              <a:solidFill>
                <a:srgbClr val="78858C"/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600-000008000000}"/>
                </a:ext>
              </a:extLst>
            </xdr:cNvPr>
            <xdr:cNvSpPr txBox="1"/>
          </xdr:nvSpPr>
          <xdr:spPr>
            <a:xfrm>
              <a:off x="5610541" y="2111923"/>
              <a:ext cx="2166893" cy="29556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400" b="1" i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ahnschrift SemiBold" panose="020B0502040204020203" pitchFamily="34" charset="0"/>
                  <a:ea typeface="Cambria" panose="02040503050406030204" pitchFamily="18" charset="0"/>
                  <a:cs typeface="Cavolini" panose="03000502040302020204" pitchFamily="66" charset="0"/>
                </a:rPr>
                <a:t> Client Commitment</a:t>
              </a:r>
              <a:endParaRPr lang="en-US" sz="1400" b="1" i="0">
                <a:solidFill>
                  <a:schemeClr val="tx1">
                    <a:lumMod val="75000"/>
                    <a:lumOff val="25000"/>
                  </a:schemeClr>
                </a:solidFill>
                <a:latin typeface="Bahnschrift SemiBold" panose="020B0502040204020203" pitchFamily="34" charset="0"/>
                <a:ea typeface="Cambria" panose="02040503050406030204" pitchFamily="18" charset="0"/>
                <a:cs typeface="Cavolini" panose="03000502040302020204" pitchFamily="66" charset="0"/>
              </a:endParaRPr>
            </a:p>
          </xdr:txBody>
        </xdr:sp>
      </xdr:grpSp>
    </xdr:grpSp>
    <xdr:clientData/>
  </xdr:twoCellAnchor>
  <xdr:twoCellAnchor editAs="oneCell">
    <xdr:from>
      <xdr:col>3</xdr:col>
      <xdr:colOff>274320</xdr:colOff>
      <xdr:row>1</xdr:row>
      <xdr:rowOff>68580</xdr:rowOff>
    </xdr:from>
    <xdr:to>
      <xdr:col>6</xdr:col>
      <xdr:colOff>114299</xdr:colOff>
      <xdr:row>3</xdr:row>
      <xdr:rowOff>61326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9211" b="89474" l="1398" r="99224">
                      <a14:foregroundMark x1="2640" y1="32237" x2="2640" y2="32237"/>
                      <a14:foregroundMark x1="2329" y1="46053" x2="2329" y2="46053"/>
                      <a14:foregroundMark x1="1786" y1="51316" x2="1786" y2="51316"/>
                      <a14:foregroundMark x1="1475" y1="66447" x2="1475" y2="66447"/>
                      <a14:foregroundMark x1="4814" y1="68421" x2="4814" y2="68421"/>
                      <a14:foregroundMark x1="3028" y1="43421" x2="3028" y2="43421"/>
                      <a14:foregroundMark x1="2407" y1="30263" x2="2407" y2="30263"/>
                      <a14:foregroundMark x1="3960" y1="13158" x2="3960" y2="13158"/>
                      <a14:foregroundMark x1="4658" y1="13816" x2="4658" y2="13816"/>
                      <a14:foregroundMark x1="3106" y1="16447" x2="3106" y2="16447"/>
                      <a14:foregroundMark x1="5202" y1="24342" x2="5202" y2="24342"/>
                      <a14:foregroundMark x1="5978" y1="36842" x2="5978" y2="36842"/>
                      <a14:foregroundMark x1="8075" y1="56579" x2="8075" y2="56579"/>
                      <a14:foregroundMark x1="9006" y1="19079" x2="9006" y2="19079"/>
                      <a14:foregroundMark x1="11180" y1="47368" x2="11180" y2="47368"/>
                      <a14:foregroundMark x1="11413" y1="30263" x2="11413" y2="30263"/>
                      <a14:foregroundMark x1="12888" y1="23026" x2="12888" y2="23026"/>
                      <a14:foregroundMark x1="10559" y1="36842" x2="10559" y2="36842"/>
                      <a14:foregroundMark x1="12189" y1="63816" x2="12189" y2="63816"/>
                      <a14:foregroundMark x1="10637" y1="63816" x2="10637" y2="63816"/>
                      <a14:foregroundMark x1="13199" y1="55921" x2="13199" y2="55921"/>
                      <a14:foregroundMark x1="16537" y1="46711" x2="16537" y2="46711"/>
                      <a14:foregroundMark x1="19099" y1="49342" x2="19099" y2="49342"/>
                      <a14:foregroundMark x1="18323" y1="63158" x2="18323" y2="63158"/>
                      <a14:foregroundMark x1="16304" y1="47368" x2="16304" y2="47368"/>
                      <a14:foregroundMark x1="20419" y1="48026" x2="20419" y2="48026"/>
                      <a14:foregroundMark x1="22826" y1="55263" x2="22826" y2="55263"/>
                      <a14:foregroundMark x1="11568" y1="49342" x2="16770" y2="49342"/>
                      <a14:foregroundMark x1="16770" y1="49342" x2="40528" y2="50000"/>
                      <a14:foregroundMark x1="40528" y1="50000" x2="50000" y2="46053"/>
                      <a14:foregroundMark x1="76553" y1="30263" x2="86957" y2="29605"/>
                      <a14:foregroundMark x1="86957" y1="29605" x2="88043" y2="30263"/>
                      <a14:foregroundMark x1="87112" y1="59211" x2="92314" y2="57237"/>
                      <a14:foregroundMark x1="92314" y1="57237" x2="96739" y2="59211"/>
                      <a14:foregroundMark x1="80978" y1="82237" x2="91071" y2="84211"/>
                      <a14:foregroundMark x1="91071" y1="84211" x2="99224" y2="83553"/>
                      <a14:foregroundMark x1="53494" y1="40132" x2="73913" y2="63816"/>
                      <a14:foregroundMark x1="93944" y1="22368" x2="93944" y2="22368"/>
                      <a14:foregroundMark x1="95575" y1="23026" x2="95575" y2="23026"/>
                      <a14:foregroundMark x1="94255" y1="24342" x2="94255" y2="24342"/>
                      <a14:foregroundMark x1="98059" y1="28947" x2="98059" y2="28947"/>
                      <a14:foregroundMark x1="96972" y1="30921" x2="96972" y2="30921"/>
                      <a14:backgroundMark x1="95807" y1="13158" x2="95807" y2="13158"/>
                      <a14:backgroundMark x1="94565" y1="6579" x2="98447" y2="21053"/>
                      <a14:backgroundMark x1="99522" y1="28947" x2="99612" y2="29605"/>
                      <a14:backgroundMark x1="98447" y1="21053" x2="99522" y2="28947"/>
                    </a14:backgroundRemoval>
                  </a14:imgEffect>
                </a14:imgLayer>
              </a14:imgProps>
            </a:ext>
          </a:extLst>
        </a:blip>
        <a:srcRect r="46767"/>
        <a:stretch/>
      </xdr:blipFill>
      <xdr:spPr>
        <a:xfrm>
          <a:off x="6949440" y="502920"/>
          <a:ext cx="1950719" cy="434706"/>
        </a:xfrm>
        <a:prstGeom prst="rect">
          <a:avLst/>
        </a:prstGeom>
      </xdr:spPr>
    </xdr:pic>
    <xdr:clientData/>
  </xdr:twoCellAnchor>
  <xdr:twoCellAnchor editAs="oneCell">
    <xdr:from>
      <xdr:col>3</xdr:col>
      <xdr:colOff>360680</xdr:colOff>
      <xdr:row>3</xdr:row>
      <xdr:rowOff>121919</xdr:rowOff>
    </xdr:from>
    <xdr:to>
      <xdr:col>6</xdr:col>
      <xdr:colOff>45720</xdr:colOff>
      <xdr:row>5</xdr:row>
      <xdr:rowOff>169130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9211" b="89474" l="1398" r="99224">
                      <a14:foregroundMark x1="2640" y1="32237" x2="2640" y2="32237"/>
                      <a14:foregroundMark x1="2329" y1="46053" x2="2329" y2="46053"/>
                      <a14:foregroundMark x1="1786" y1="51316" x2="1786" y2="51316"/>
                      <a14:foregroundMark x1="1475" y1="66447" x2="1475" y2="66447"/>
                      <a14:foregroundMark x1="4814" y1="68421" x2="4814" y2="68421"/>
                      <a14:foregroundMark x1="3028" y1="43421" x2="3028" y2="43421"/>
                      <a14:foregroundMark x1="2407" y1="30263" x2="2407" y2="30263"/>
                      <a14:foregroundMark x1="3960" y1="13158" x2="3960" y2="13158"/>
                      <a14:foregroundMark x1="4658" y1="13816" x2="4658" y2="13816"/>
                      <a14:foregroundMark x1="3106" y1="16447" x2="3106" y2="16447"/>
                      <a14:foregroundMark x1="5202" y1="24342" x2="5202" y2="24342"/>
                      <a14:foregroundMark x1="5978" y1="36842" x2="5978" y2="36842"/>
                      <a14:foregroundMark x1="8075" y1="56579" x2="8075" y2="56579"/>
                      <a14:foregroundMark x1="9006" y1="19079" x2="9006" y2="19079"/>
                      <a14:foregroundMark x1="11180" y1="47368" x2="11180" y2="47368"/>
                      <a14:foregroundMark x1="11413" y1="30263" x2="11413" y2="30263"/>
                      <a14:foregroundMark x1="12888" y1="23026" x2="12888" y2="23026"/>
                      <a14:foregroundMark x1="10559" y1="36842" x2="10559" y2="36842"/>
                      <a14:foregroundMark x1="12189" y1="63816" x2="12189" y2="63816"/>
                      <a14:foregroundMark x1="10637" y1="63816" x2="10637" y2="63816"/>
                      <a14:foregroundMark x1="13199" y1="55921" x2="13199" y2="55921"/>
                      <a14:foregroundMark x1="16537" y1="46711" x2="16537" y2="46711"/>
                      <a14:foregroundMark x1="19099" y1="49342" x2="19099" y2="49342"/>
                      <a14:foregroundMark x1="18323" y1="63158" x2="18323" y2="63158"/>
                      <a14:foregroundMark x1="16304" y1="47368" x2="16304" y2="47368"/>
                      <a14:foregroundMark x1="20419" y1="48026" x2="20419" y2="48026"/>
                      <a14:foregroundMark x1="22826" y1="55263" x2="22826" y2="55263"/>
                      <a14:foregroundMark x1="11568" y1="49342" x2="16770" y2="49342"/>
                      <a14:foregroundMark x1="16770" y1="49342" x2="40528" y2="50000"/>
                      <a14:foregroundMark x1="40528" y1="50000" x2="50000" y2="46053"/>
                      <a14:foregroundMark x1="76553" y1="30263" x2="86957" y2="29605"/>
                      <a14:foregroundMark x1="86957" y1="29605" x2="88043" y2="30263"/>
                      <a14:foregroundMark x1="87112" y1="59211" x2="92314" y2="57237"/>
                      <a14:foregroundMark x1="92314" y1="57237" x2="96739" y2="59211"/>
                      <a14:foregroundMark x1="80978" y1="82237" x2="91071" y2="84211"/>
                      <a14:foregroundMark x1="91071" y1="84211" x2="99224" y2="83553"/>
                      <a14:foregroundMark x1="53494" y1="40132" x2="73913" y2="63816"/>
                      <a14:foregroundMark x1="93944" y1="22368" x2="93944" y2="22368"/>
                      <a14:foregroundMark x1="95575" y1="23026" x2="95575" y2="23026"/>
                      <a14:foregroundMark x1="94255" y1="24342" x2="94255" y2="24342"/>
                      <a14:foregroundMark x1="98059" y1="28947" x2="98059" y2="28947"/>
                      <a14:foregroundMark x1="96972" y1="30921" x2="96972" y2="30921"/>
                      <a14:backgroundMark x1="95807" y1="13158" x2="95807" y2="13158"/>
                      <a14:backgroundMark x1="94565" y1="6579" x2="98447" y2="21053"/>
                      <a14:backgroundMark x1="99522" y1="28947" x2="99612" y2="29605"/>
                      <a14:backgroundMark x1="98447" y1="21053" x2="99522" y2="28947"/>
                    </a14:backgroundRemoval>
                  </a14:imgEffect>
                </a14:imgLayer>
              </a14:imgProps>
            </a:ext>
          </a:extLst>
        </a:blip>
        <a:srcRect l="56359"/>
        <a:stretch/>
      </xdr:blipFill>
      <xdr:spPr>
        <a:xfrm>
          <a:off x="7035800" y="998219"/>
          <a:ext cx="1795780" cy="489171"/>
        </a:xfrm>
        <a:prstGeom prst="rect">
          <a:avLst/>
        </a:prstGeom>
      </xdr:spPr>
    </xdr:pic>
    <xdr:clientData/>
  </xdr:twoCellAnchor>
  <xdr:twoCellAnchor>
    <xdr:from>
      <xdr:col>2</xdr:col>
      <xdr:colOff>952500</xdr:colOff>
      <xdr:row>7</xdr:row>
      <xdr:rowOff>22860</xdr:rowOff>
    </xdr:from>
    <xdr:to>
      <xdr:col>6</xdr:col>
      <xdr:colOff>45720</xdr:colOff>
      <xdr:row>19</xdr:row>
      <xdr:rowOff>144780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2484120</xdr:colOff>
      <xdr:row>6</xdr:row>
      <xdr:rowOff>114300</xdr:rowOff>
    </xdr:from>
    <xdr:to>
      <xdr:col>7</xdr:col>
      <xdr:colOff>251460</xdr:colOff>
      <xdr:row>7</xdr:row>
      <xdr:rowOff>53340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2</xdr:col>
      <xdr:colOff>1087980</xdr:colOff>
      <xdr:row>21</xdr:row>
      <xdr:rowOff>184080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0" y="1885950"/>
          <a:ext cx="2796130" cy="2603430"/>
          <a:chOff x="11338560" y="594360"/>
          <a:chExt cx="2772000" cy="259200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GraphicFramePr>
            <a:graphicFrameLocks noChangeAspect="1"/>
          </xdr:cNvGraphicFramePr>
        </xdr:nvGraphicFramePr>
        <xdr:xfrm>
          <a:off x="11567160" y="815340"/>
          <a:ext cx="2310000" cy="216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GraphicFramePr>
            <a:graphicFrameLocks noChangeAspect="1"/>
          </xdr:cNvGraphicFramePr>
        </xdr:nvGraphicFramePr>
        <xdr:xfrm>
          <a:off x="11338560" y="594360"/>
          <a:ext cx="2772000" cy="2592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GrpSpPr/>
        </xdr:nvGrpSpPr>
        <xdr:grpSpPr>
          <a:xfrm>
            <a:off x="11683097" y="857065"/>
            <a:ext cx="2088000" cy="2088000"/>
            <a:chOff x="5552950" y="925511"/>
            <a:chExt cx="2325711" cy="2249713"/>
          </a:xfrm>
          <a:effectLst/>
        </xdr:grpSpPr>
        <xdr:sp macro="" textlink="">
          <xdr:nvSpPr>
            <xdr:cNvPr id="6" name="Block Arc 5">
              <a:extLst>
                <a:ext uri="{FF2B5EF4-FFF2-40B4-BE49-F238E27FC236}">
                  <a16:creationId xmlns:a16="http://schemas.microsoft.com/office/drawing/2014/main" id="{00000000-0008-0000-0700-000006000000}"/>
                </a:ext>
              </a:extLst>
            </xdr:cNvPr>
            <xdr:cNvSpPr/>
          </xdr:nvSpPr>
          <xdr:spPr>
            <a:xfrm>
              <a:off x="5552950" y="925511"/>
              <a:ext cx="2325711" cy="2249713"/>
            </a:xfrm>
            <a:prstGeom prst="blockArc">
              <a:avLst>
                <a:gd name="adj1" fmla="val 10823306"/>
                <a:gd name="adj2" fmla="val 21570343"/>
                <a:gd name="adj3" fmla="val 2669"/>
              </a:avLst>
            </a:prstGeom>
            <a:solidFill>
              <a:srgbClr val="78858C"/>
            </a:solidFill>
            <a:ln w="12700" cap="flat" cmpd="sng" algn="ctr">
              <a:noFill/>
              <a:prstDash val="solid"/>
              <a:miter lim="800000"/>
            </a:ln>
            <a:effectLst>
              <a:outerShdw blurRad="63500" dist="38100" algn="tl" rotWithShape="0">
                <a:prstClr val="black">
                  <a:alpha val="10000"/>
                </a:prstClr>
              </a:outerShdw>
            </a:effectLst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  <xdr:sp macro="" textlink="">
          <xdr:nvSpPr>
            <xdr:cNvPr id="7" name="Oval 6">
              <a:extLst>
                <a:ext uri="{FF2B5EF4-FFF2-40B4-BE49-F238E27FC236}">
                  <a16:creationId xmlns:a16="http://schemas.microsoft.com/office/drawing/2014/main" id="{00000000-0008-0000-0700-000007000000}"/>
                </a:ext>
              </a:extLst>
            </xdr:cNvPr>
            <xdr:cNvSpPr/>
          </xdr:nvSpPr>
          <xdr:spPr>
            <a:xfrm>
              <a:off x="6610742" y="1920253"/>
              <a:ext cx="220308" cy="208389"/>
            </a:xfrm>
            <a:prstGeom prst="ellipse">
              <a:avLst/>
            </a:prstGeom>
            <a:solidFill>
              <a:srgbClr val="6F6F6F"/>
            </a:solidFill>
            <a:ln w="12700" cap="flat" cmpd="sng" algn="ctr">
              <a:solidFill>
                <a:srgbClr val="78858C"/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700-000008000000}"/>
                </a:ext>
              </a:extLst>
            </xdr:cNvPr>
            <xdr:cNvSpPr txBox="1"/>
          </xdr:nvSpPr>
          <xdr:spPr>
            <a:xfrm>
              <a:off x="5610541" y="2111923"/>
              <a:ext cx="2166893" cy="29556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400" b="1" i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ahnschrift SemiBold" panose="020B0502040204020203" pitchFamily="34" charset="0"/>
                  <a:ea typeface="Cambria" panose="02040503050406030204" pitchFamily="18" charset="0"/>
                  <a:cs typeface="Cavolini" panose="03000502040302020204" pitchFamily="66" charset="0"/>
                </a:rPr>
                <a:t> Client Commitment</a:t>
              </a:r>
              <a:endParaRPr lang="en-US" sz="1400" b="1" i="0">
                <a:solidFill>
                  <a:schemeClr val="tx1">
                    <a:lumMod val="75000"/>
                    <a:lumOff val="25000"/>
                  </a:schemeClr>
                </a:solidFill>
                <a:latin typeface="Bahnschrift SemiBold" panose="020B0502040204020203" pitchFamily="34" charset="0"/>
                <a:ea typeface="Cambria" panose="02040503050406030204" pitchFamily="18" charset="0"/>
                <a:cs typeface="Cavolini" panose="03000502040302020204" pitchFamily="66" charset="0"/>
              </a:endParaRPr>
            </a:p>
          </xdr:txBody>
        </xdr:sp>
      </xdr:grpSp>
    </xdr:grpSp>
    <xdr:clientData/>
  </xdr:twoCellAnchor>
  <xdr:twoCellAnchor editAs="oneCell">
    <xdr:from>
      <xdr:col>3</xdr:col>
      <xdr:colOff>274320</xdr:colOff>
      <xdr:row>1</xdr:row>
      <xdr:rowOff>68580</xdr:rowOff>
    </xdr:from>
    <xdr:to>
      <xdr:col>6</xdr:col>
      <xdr:colOff>114299</xdr:colOff>
      <xdr:row>3</xdr:row>
      <xdr:rowOff>61326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9211" b="89474" l="1398" r="99224">
                      <a14:foregroundMark x1="2640" y1="32237" x2="2640" y2="32237"/>
                      <a14:foregroundMark x1="2329" y1="46053" x2="2329" y2="46053"/>
                      <a14:foregroundMark x1="1786" y1="51316" x2="1786" y2="51316"/>
                      <a14:foregroundMark x1="1475" y1="66447" x2="1475" y2="66447"/>
                      <a14:foregroundMark x1="4814" y1="68421" x2="4814" y2="68421"/>
                      <a14:foregroundMark x1="3028" y1="43421" x2="3028" y2="43421"/>
                      <a14:foregroundMark x1="2407" y1="30263" x2="2407" y2="30263"/>
                      <a14:foregroundMark x1="3960" y1="13158" x2="3960" y2="13158"/>
                      <a14:foregroundMark x1="4658" y1="13816" x2="4658" y2="13816"/>
                      <a14:foregroundMark x1="3106" y1="16447" x2="3106" y2="16447"/>
                      <a14:foregroundMark x1="5202" y1="24342" x2="5202" y2="24342"/>
                      <a14:foregroundMark x1="5978" y1="36842" x2="5978" y2="36842"/>
                      <a14:foregroundMark x1="8075" y1="56579" x2="8075" y2="56579"/>
                      <a14:foregroundMark x1="9006" y1="19079" x2="9006" y2="19079"/>
                      <a14:foregroundMark x1="11180" y1="47368" x2="11180" y2="47368"/>
                      <a14:foregroundMark x1="11413" y1="30263" x2="11413" y2="30263"/>
                      <a14:foregroundMark x1="12888" y1="23026" x2="12888" y2="23026"/>
                      <a14:foregroundMark x1="10559" y1="36842" x2="10559" y2="36842"/>
                      <a14:foregroundMark x1="12189" y1="63816" x2="12189" y2="63816"/>
                      <a14:foregroundMark x1="10637" y1="63816" x2="10637" y2="63816"/>
                      <a14:foregroundMark x1="13199" y1="55921" x2="13199" y2="55921"/>
                      <a14:foregroundMark x1="16537" y1="46711" x2="16537" y2="46711"/>
                      <a14:foregroundMark x1="19099" y1="49342" x2="19099" y2="49342"/>
                      <a14:foregroundMark x1="18323" y1="63158" x2="18323" y2="63158"/>
                      <a14:foregroundMark x1="16304" y1="47368" x2="16304" y2="47368"/>
                      <a14:foregroundMark x1="20419" y1="48026" x2="20419" y2="48026"/>
                      <a14:foregroundMark x1="22826" y1="55263" x2="22826" y2="55263"/>
                      <a14:foregroundMark x1="11568" y1="49342" x2="16770" y2="49342"/>
                      <a14:foregroundMark x1="16770" y1="49342" x2="40528" y2="50000"/>
                      <a14:foregroundMark x1="40528" y1="50000" x2="50000" y2="46053"/>
                      <a14:foregroundMark x1="76553" y1="30263" x2="86957" y2="29605"/>
                      <a14:foregroundMark x1="86957" y1="29605" x2="88043" y2="30263"/>
                      <a14:foregroundMark x1="87112" y1="59211" x2="92314" y2="57237"/>
                      <a14:foregroundMark x1="92314" y1="57237" x2="96739" y2="59211"/>
                      <a14:foregroundMark x1="80978" y1="82237" x2="91071" y2="84211"/>
                      <a14:foregroundMark x1="91071" y1="84211" x2="99224" y2="83553"/>
                      <a14:foregroundMark x1="53494" y1="40132" x2="73913" y2="63816"/>
                      <a14:foregroundMark x1="93944" y1="22368" x2="93944" y2="22368"/>
                      <a14:foregroundMark x1="95575" y1="23026" x2="95575" y2="23026"/>
                      <a14:foregroundMark x1="94255" y1="24342" x2="94255" y2="24342"/>
                      <a14:foregroundMark x1="98059" y1="28947" x2="98059" y2="28947"/>
                      <a14:foregroundMark x1="96972" y1="30921" x2="96972" y2="30921"/>
                      <a14:backgroundMark x1="95807" y1="13158" x2="95807" y2="13158"/>
                      <a14:backgroundMark x1="94565" y1="6579" x2="98447" y2="21053"/>
                      <a14:backgroundMark x1="99522" y1="28947" x2="99612" y2="29605"/>
                      <a14:backgroundMark x1="98447" y1="21053" x2="99522" y2="28947"/>
                    </a14:backgroundRemoval>
                  </a14:imgEffect>
                </a14:imgLayer>
              </a14:imgProps>
            </a:ext>
          </a:extLst>
        </a:blip>
        <a:srcRect r="46767"/>
        <a:stretch/>
      </xdr:blipFill>
      <xdr:spPr>
        <a:xfrm>
          <a:off x="6949440" y="502920"/>
          <a:ext cx="1950719" cy="434706"/>
        </a:xfrm>
        <a:prstGeom prst="rect">
          <a:avLst/>
        </a:prstGeom>
      </xdr:spPr>
    </xdr:pic>
    <xdr:clientData/>
  </xdr:twoCellAnchor>
  <xdr:twoCellAnchor editAs="oneCell">
    <xdr:from>
      <xdr:col>3</xdr:col>
      <xdr:colOff>360680</xdr:colOff>
      <xdr:row>3</xdr:row>
      <xdr:rowOff>121919</xdr:rowOff>
    </xdr:from>
    <xdr:to>
      <xdr:col>6</xdr:col>
      <xdr:colOff>45720</xdr:colOff>
      <xdr:row>5</xdr:row>
      <xdr:rowOff>169130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9211" b="89474" l="1398" r="99224">
                      <a14:foregroundMark x1="2640" y1="32237" x2="2640" y2="32237"/>
                      <a14:foregroundMark x1="2329" y1="46053" x2="2329" y2="46053"/>
                      <a14:foregroundMark x1="1786" y1="51316" x2="1786" y2="51316"/>
                      <a14:foregroundMark x1="1475" y1="66447" x2="1475" y2="66447"/>
                      <a14:foregroundMark x1="4814" y1="68421" x2="4814" y2="68421"/>
                      <a14:foregroundMark x1="3028" y1="43421" x2="3028" y2="43421"/>
                      <a14:foregroundMark x1="2407" y1="30263" x2="2407" y2="30263"/>
                      <a14:foregroundMark x1="3960" y1="13158" x2="3960" y2="13158"/>
                      <a14:foregroundMark x1="4658" y1="13816" x2="4658" y2="13816"/>
                      <a14:foregroundMark x1="3106" y1="16447" x2="3106" y2="16447"/>
                      <a14:foregroundMark x1="5202" y1="24342" x2="5202" y2="24342"/>
                      <a14:foregroundMark x1="5978" y1="36842" x2="5978" y2="36842"/>
                      <a14:foregroundMark x1="8075" y1="56579" x2="8075" y2="56579"/>
                      <a14:foregroundMark x1="9006" y1="19079" x2="9006" y2="19079"/>
                      <a14:foregroundMark x1="11180" y1="47368" x2="11180" y2="47368"/>
                      <a14:foregroundMark x1="11413" y1="30263" x2="11413" y2="30263"/>
                      <a14:foregroundMark x1="12888" y1="23026" x2="12888" y2="23026"/>
                      <a14:foregroundMark x1="10559" y1="36842" x2="10559" y2="36842"/>
                      <a14:foregroundMark x1="12189" y1="63816" x2="12189" y2="63816"/>
                      <a14:foregroundMark x1="10637" y1="63816" x2="10637" y2="63816"/>
                      <a14:foregroundMark x1="13199" y1="55921" x2="13199" y2="55921"/>
                      <a14:foregroundMark x1="16537" y1="46711" x2="16537" y2="46711"/>
                      <a14:foregroundMark x1="19099" y1="49342" x2="19099" y2="49342"/>
                      <a14:foregroundMark x1="18323" y1="63158" x2="18323" y2="63158"/>
                      <a14:foregroundMark x1="16304" y1="47368" x2="16304" y2="47368"/>
                      <a14:foregroundMark x1="20419" y1="48026" x2="20419" y2="48026"/>
                      <a14:foregroundMark x1="22826" y1="55263" x2="22826" y2="55263"/>
                      <a14:foregroundMark x1="11568" y1="49342" x2="16770" y2="49342"/>
                      <a14:foregroundMark x1="16770" y1="49342" x2="40528" y2="50000"/>
                      <a14:foregroundMark x1="40528" y1="50000" x2="50000" y2="46053"/>
                      <a14:foregroundMark x1="76553" y1="30263" x2="86957" y2="29605"/>
                      <a14:foregroundMark x1="86957" y1="29605" x2="88043" y2="30263"/>
                      <a14:foregroundMark x1="87112" y1="59211" x2="92314" y2="57237"/>
                      <a14:foregroundMark x1="92314" y1="57237" x2="96739" y2="59211"/>
                      <a14:foregroundMark x1="80978" y1="82237" x2="91071" y2="84211"/>
                      <a14:foregroundMark x1="91071" y1="84211" x2="99224" y2="83553"/>
                      <a14:foregroundMark x1="53494" y1="40132" x2="73913" y2="63816"/>
                      <a14:foregroundMark x1="93944" y1="22368" x2="93944" y2="22368"/>
                      <a14:foregroundMark x1="95575" y1="23026" x2="95575" y2="23026"/>
                      <a14:foregroundMark x1="94255" y1="24342" x2="94255" y2="24342"/>
                      <a14:foregroundMark x1="98059" y1="28947" x2="98059" y2="28947"/>
                      <a14:foregroundMark x1="96972" y1="30921" x2="96972" y2="30921"/>
                      <a14:backgroundMark x1="95807" y1="13158" x2="95807" y2="13158"/>
                      <a14:backgroundMark x1="94565" y1="6579" x2="98447" y2="21053"/>
                      <a14:backgroundMark x1="99522" y1="28947" x2="99612" y2="29605"/>
                      <a14:backgroundMark x1="98447" y1="21053" x2="99522" y2="28947"/>
                    </a14:backgroundRemoval>
                  </a14:imgEffect>
                </a14:imgLayer>
              </a14:imgProps>
            </a:ext>
          </a:extLst>
        </a:blip>
        <a:srcRect l="56359"/>
        <a:stretch/>
      </xdr:blipFill>
      <xdr:spPr>
        <a:xfrm>
          <a:off x="7035800" y="998219"/>
          <a:ext cx="1795780" cy="489171"/>
        </a:xfrm>
        <a:prstGeom prst="rect">
          <a:avLst/>
        </a:prstGeom>
      </xdr:spPr>
    </xdr:pic>
    <xdr:clientData/>
  </xdr:twoCellAnchor>
  <xdr:twoCellAnchor>
    <xdr:from>
      <xdr:col>2</xdr:col>
      <xdr:colOff>952500</xdr:colOff>
      <xdr:row>7</xdr:row>
      <xdr:rowOff>22860</xdr:rowOff>
    </xdr:from>
    <xdr:to>
      <xdr:col>6</xdr:col>
      <xdr:colOff>45720</xdr:colOff>
      <xdr:row>19</xdr:row>
      <xdr:rowOff>144780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2484120</xdr:colOff>
      <xdr:row>6</xdr:row>
      <xdr:rowOff>114300</xdr:rowOff>
    </xdr:from>
    <xdr:to>
      <xdr:col>7</xdr:col>
      <xdr:colOff>251460</xdr:colOff>
      <xdr:row>7</xdr:row>
      <xdr:rowOff>53340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2</xdr:col>
      <xdr:colOff>1087980</xdr:colOff>
      <xdr:row>21</xdr:row>
      <xdr:rowOff>184080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0" y="1885950"/>
          <a:ext cx="2796130" cy="2603430"/>
          <a:chOff x="11338560" y="594360"/>
          <a:chExt cx="2772000" cy="259200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>
            <a:graphicFrameLocks noChangeAspect="1"/>
          </xdr:cNvGraphicFramePr>
        </xdr:nvGraphicFramePr>
        <xdr:xfrm>
          <a:off x="11567160" y="815340"/>
          <a:ext cx="2310000" cy="216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GraphicFramePr>
            <a:graphicFrameLocks noChangeAspect="1"/>
          </xdr:cNvGraphicFramePr>
        </xdr:nvGraphicFramePr>
        <xdr:xfrm>
          <a:off x="11338560" y="594360"/>
          <a:ext cx="2772000" cy="2592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GrpSpPr/>
        </xdr:nvGrpSpPr>
        <xdr:grpSpPr>
          <a:xfrm>
            <a:off x="11683097" y="857065"/>
            <a:ext cx="2088000" cy="2088000"/>
            <a:chOff x="5552950" y="925511"/>
            <a:chExt cx="2325711" cy="2249713"/>
          </a:xfrm>
          <a:effectLst/>
        </xdr:grpSpPr>
        <xdr:sp macro="" textlink="">
          <xdr:nvSpPr>
            <xdr:cNvPr id="6" name="Block Arc 5">
              <a:extLst>
                <a:ext uri="{FF2B5EF4-FFF2-40B4-BE49-F238E27FC236}">
                  <a16:creationId xmlns:a16="http://schemas.microsoft.com/office/drawing/2014/main" id="{00000000-0008-0000-0800-000006000000}"/>
                </a:ext>
              </a:extLst>
            </xdr:cNvPr>
            <xdr:cNvSpPr/>
          </xdr:nvSpPr>
          <xdr:spPr>
            <a:xfrm>
              <a:off x="5552950" y="925511"/>
              <a:ext cx="2325711" cy="2249713"/>
            </a:xfrm>
            <a:prstGeom prst="blockArc">
              <a:avLst>
                <a:gd name="adj1" fmla="val 10823306"/>
                <a:gd name="adj2" fmla="val 21570343"/>
                <a:gd name="adj3" fmla="val 2669"/>
              </a:avLst>
            </a:prstGeom>
            <a:solidFill>
              <a:srgbClr val="78858C"/>
            </a:solidFill>
            <a:ln w="12700" cap="flat" cmpd="sng" algn="ctr">
              <a:noFill/>
              <a:prstDash val="solid"/>
              <a:miter lim="800000"/>
            </a:ln>
            <a:effectLst>
              <a:outerShdw blurRad="63500" dist="38100" algn="tl" rotWithShape="0">
                <a:prstClr val="black">
                  <a:alpha val="10000"/>
                </a:prstClr>
              </a:outerShdw>
            </a:effectLst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  <xdr:sp macro="" textlink="">
          <xdr:nvSpPr>
            <xdr:cNvPr id="7" name="Oval 6">
              <a:extLst>
                <a:ext uri="{FF2B5EF4-FFF2-40B4-BE49-F238E27FC236}">
                  <a16:creationId xmlns:a16="http://schemas.microsoft.com/office/drawing/2014/main" id="{00000000-0008-0000-0800-000007000000}"/>
                </a:ext>
              </a:extLst>
            </xdr:cNvPr>
            <xdr:cNvSpPr/>
          </xdr:nvSpPr>
          <xdr:spPr>
            <a:xfrm>
              <a:off x="6610742" y="1920253"/>
              <a:ext cx="220308" cy="208389"/>
            </a:xfrm>
            <a:prstGeom prst="ellipse">
              <a:avLst/>
            </a:prstGeom>
            <a:solidFill>
              <a:srgbClr val="6F6F6F"/>
            </a:solidFill>
            <a:ln w="12700" cap="flat" cmpd="sng" algn="ctr">
              <a:solidFill>
                <a:srgbClr val="78858C"/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800-000008000000}"/>
                </a:ext>
              </a:extLst>
            </xdr:cNvPr>
            <xdr:cNvSpPr txBox="1"/>
          </xdr:nvSpPr>
          <xdr:spPr>
            <a:xfrm>
              <a:off x="5610541" y="2111923"/>
              <a:ext cx="2166893" cy="29556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400" b="1" i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ahnschrift SemiBold" panose="020B0502040204020203" pitchFamily="34" charset="0"/>
                  <a:ea typeface="Cambria" panose="02040503050406030204" pitchFamily="18" charset="0"/>
                  <a:cs typeface="Cavolini" panose="03000502040302020204" pitchFamily="66" charset="0"/>
                </a:rPr>
                <a:t> Client Commitment</a:t>
              </a:r>
              <a:endParaRPr lang="en-US" sz="1400" b="1" i="0">
                <a:solidFill>
                  <a:schemeClr val="tx1">
                    <a:lumMod val="75000"/>
                    <a:lumOff val="25000"/>
                  </a:schemeClr>
                </a:solidFill>
                <a:latin typeface="Bahnschrift SemiBold" panose="020B0502040204020203" pitchFamily="34" charset="0"/>
                <a:ea typeface="Cambria" panose="02040503050406030204" pitchFamily="18" charset="0"/>
                <a:cs typeface="Cavolini" panose="03000502040302020204" pitchFamily="66" charset="0"/>
              </a:endParaRPr>
            </a:p>
          </xdr:txBody>
        </xdr:sp>
      </xdr:grpSp>
    </xdr:grpSp>
    <xdr:clientData/>
  </xdr:twoCellAnchor>
  <xdr:twoCellAnchor editAs="oneCell">
    <xdr:from>
      <xdr:col>3</xdr:col>
      <xdr:colOff>274320</xdr:colOff>
      <xdr:row>1</xdr:row>
      <xdr:rowOff>68580</xdr:rowOff>
    </xdr:from>
    <xdr:to>
      <xdr:col>6</xdr:col>
      <xdr:colOff>114299</xdr:colOff>
      <xdr:row>3</xdr:row>
      <xdr:rowOff>61326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9211" b="89474" l="1398" r="99224">
                      <a14:foregroundMark x1="2640" y1="32237" x2="2640" y2="32237"/>
                      <a14:foregroundMark x1="2329" y1="46053" x2="2329" y2="46053"/>
                      <a14:foregroundMark x1="1786" y1="51316" x2="1786" y2="51316"/>
                      <a14:foregroundMark x1="1475" y1="66447" x2="1475" y2="66447"/>
                      <a14:foregroundMark x1="4814" y1="68421" x2="4814" y2="68421"/>
                      <a14:foregroundMark x1="3028" y1="43421" x2="3028" y2="43421"/>
                      <a14:foregroundMark x1="2407" y1="30263" x2="2407" y2="30263"/>
                      <a14:foregroundMark x1="3960" y1="13158" x2="3960" y2="13158"/>
                      <a14:foregroundMark x1="4658" y1="13816" x2="4658" y2="13816"/>
                      <a14:foregroundMark x1="3106" y1="16447" x2="3106" y2="16447"/>
                      <a14:foregroundMark x1="5202" y1="24342" x2="5202" y2="24342"/>
                      <a14:foregroundMark x1="5978" y1="36842" x2="5978" y2="36842"/>
                      <a14:foregroundMark x1="8075" y1="56579" x2="8075" y2="56579"/>
                      <a14:foregroundMark x1="9006" y1="19079" x2="9006" y2="19079"/>
                      <a14:foregroundMark x1="11180" y1="47368" x2="11180" y2="47368"/>
                      <a14:foregroundMark x1="11413" y1="30263" x2="11413" y2="30263"/>
                      <a14:foregroundMark x1="12888" y1="23026" x2="12888" y2="23026"/>
                      <a14:foregroundMark x1="10559" y1="36842" x2="10559" y2="36842"/>
                      <a14:foregroundMark x1="12189" y1="63816" x2="12189" y2="63816"/>
                      <a14:foregroundMark x1="10637" y1="63816" x2="10637" y2="63816"/>
                      <a14:foregroundMark x1="13199" y1="55921" x2="13199" y2="55921"/>
                      <a14:foregroundMark x1="16537" y1="46711" x2="16537" y2="46711"/>
                      <a14:foregroundMark x1="19099" y1="49342" x2="19099" y2="49342"/>
                      <a14:foregroundMark x1="18323" y1="63158" x2="18323" y2="63158"/>
                      <a14:foregroundMark x1="16304" y1="47368" x2="16304" y2="47368"/>
                      <a14:foregroundMark x1="20419" y1="48026" x2="20419" y2="48026"/>
                      <a14:foregroundMark x1="22826" y1="55263" x2="22826" y2="55263"/>
                      <a14:foregroundMark x1="11568" y1="49342" x2="16770" y2="49342"/>
                      <a14:foregroundMark x1="16770" y1="49342" x2="40528" y2="50000"/>
                      <a14:foregroundMark x1="40528" y1="50000" x2="50000" y2="46053"/>
                      <a14:foregroundMark x1="76553" y1="30263" x2="86957" y2="29605"/>
                      <a14:foregroundMark x1="86957" y1="29605" x2="88043" y2="30263"/>
                      <a14:foregroundMark x1="87112" y1="59211" x2="92314" y2="57237"/>
                      <a14:foregroundMark x1="92314" y1="57237" x2="96739" y2="59211"/>
                      <a14:foregroundMark x1="80978" y1="82237" x2="91071" y2="84211"/>
                      <a14:foregroundMark x1="91071" y1="84211" x2="99224" y2="83553"/>
                      <a14:foregroundMark x1="53494" y1="40132" x2="73913" y2="63816"/>
                      <a14:foregroundMark x1="93944" y1="22368" x2="93944" y2="22368"/>
                      <a14:foregroundMark x1="95575" y1="23026" x2="95575" y2="23026"/>
                      <a14:foregroundMark x1="94255" y1="24342" x2="94255" y2="24342"/>
                      <a14:foregroundMark x1="98059" y1="28947" x2="98059" y2="28947"/>
                      <a14:foregroundMark x1="96972" y1="30921" x2="96972" y2="30921"/>
                      <a14:backgroundMark x1="95807" y1="13158" x2="95807" y2="13158"/>
                      <a14:backgroundMark x1="94565" y1="6579" x2="98447" y2="21053"/>
                      <a14:backgroundMark x1="99522" y1="28947" x2="99612" y2="29605"/>
                      <a14:backgroundMark x1="98447" y1="21053" x2="99522" y2="28947"/>
                    </a14:backgroundRemoval>
                  </a14:imgEffect>
                </a14:imgLayer>
              </a14:imgProps>
            </a:ext>
          </a:extLst>
        </a:blip>
        <a:srcRect r="46767"/>
        <a:stretch/>
      </xdr:blipFill>
      <xdr:spPr>
        <a:xfrm>
          <a:off x="6949440" y="502920"/>
          <a:ext cx="1950719" cy="434706"/>
        </a:xfrm>
        <a:prstGeom prst="rect">
          <a:avLst/>
        </a:prstGeom>
      </xdr:spPr>
    </xdr:pic>
    <xdr:clientData/>
  </xdr:twoCellAnchor>
  <xdr:twoCellAnchor editAs="oneCell">
    <xdr:from>
      <xdr:col>3</xdr:col>
      <xdr:colOff>360680</xdr:colOff>
      <xdr:row>3</xdr:row>
      <xdr:rowOff>121919</xdr:rowOff>
    </xdr:from>
    <xdr:to>
      <xdr:col>6</xdr:col>
      <xdr:colOff>45720</xdr:colOff>
      <xdr:row>5</xdr:row>
      <xdr:rowOff>169130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9211" b="89474" l="1398" r="99224">
                      <a14:foregroundMark x1="2640" y1="32237" x2="2640" y2="32237"/>
                      <a14:foregroundMark x1="2329" y1="46053" x2="2329" y2="46053"/>
                      <a14:foregroundMark x1="1786" y1="51316" x2="1786" y2="51316"/>
                      <a14:foregroundMark x1="1475" y1="66447" x2="1475" y2="66447"/>
                      <a14:foregroundMark x1="4814" y1="68421" x2="4814" y2="68421"/>
                      <a14:foregroundMark x1="3028" y1="43421" x2="3028" y2="43421"/>
                      <a14:foregroundMark x1="2407" y1="30263" x2="2407" y2="30263"/>
                      <a14:foregroundMark x1="3960" y1="13158" x2="3960" y2="13158"/>
                      <a14:foregroundMark x1="4658" y1="13816" x2="4658" y2="13816"/>
                      <a14:foregroundMark x1="3106" y1="16447" x2="3106" y2="16447"/>
                      <a14:foregroundMark x1="5202" y1="24342" x2="5202" y2="24342"/>
                      <a14:foregroundMark x1="5978" y1="36842" x2="5978" y2="36842"/>
                      <a14:foregroundMark x1="8075" y1="56579" x2="8075" y2="56579"/>
                      <a14:foregroundMark x1="9006" y1="19079" x2="9006" y2="19079"/>
                      <a14:foregroundMark x1="11180" y1="47368" x2="11180" y2="47368"/>
                      <a14:foregroundMark x1="11413" y1="30263" x2="11413" y2="30263"/>
                      <a14:foregroundMark x1="12888" y1="23026" x2="12888" y2="23026"/>
                      <a14:foregroundMark x1="10559" y1="36842" x2="10559" y2="36842"/>
                      <a14:foregroundMark x1="12189" y1="63816" x2="12189" y2="63816"/>
                      <a14:foregroundMark x1="10637" y1="63816" x2="10637" y2="63816"/>
                      <a14:foregroundMark x1="13199" y1="55921" x2="13199" y2="55921"/>
                      <a14:foregroundMark x1="16537" y1="46711" x2="16537" y2="46711"/>
                      <a14:foregroundMark x1="19099" y1="49342" x2="19099" y2="49342"/>
                      <a14:foregroundMark x1="18323" y1="63158" x2="18323" y2="63158"/>
                      <a14:foregroundMark x1="16304" y1="47368" x2="16304" y2="47368"/>
                      <a14:foregroundMark x1="20419" y1="48026" x2="20419" y2="48026"/>
                      <a14:foregroundMark x1="22826" y1="55263" x2="22826" y2="55263"/>
                      <a14:foregroundMark x1="11568" y1="49342" x2="16770" y2="49342"/>
                      <a14:foregroundMark x1="16770" y1="49342" x2="40528" y2="50000"/>
                      <a14:foregroundMark x1="40528" y1="50000" x2="50000" y2="46053"/>
                      <a14:foregroundMark x1="76553" y1="30263" x2="86957" y2="29605"/>
                      <a14:foregroundMark x1="86957" y1="29605" x2="88043" y2="30263"/>
                      <a14:foregroundMark x1="87112" y1="59211" x2="92314" y2="57237"/>
                      <a14:foregroundMark x1="92314" y1="57237" x2="96739" y2="59211"/>
                      <a14:foregroundMark x1="80978" y1="82237" x2="91071" y2="84211"/>
                      <a14:foregroundMark x1="91071" y1="84211" x2="99224" y2="83553"/>
                      <a14:foregroundMark x1="53494" y1="40132" x2="73913" y2="63816"/>
                      <a14:foregroundMark x1="93944" y1="22368" x2="93944" y2="22368"/>
                      <a14:foregroundMark x1="95575" y1="23026" x2="95575" y2="23026"/>
                      <a14:foregroundMark x1="94255" y1="24342" x2="94255" y2="24342"/>
                      <a14:foregroundMark x1="98059" y1="28947" x2="98059" y2="28947"/>
                      <a14:foregroundMark x1="96972" y1="30921" x2="96972" y2="30921"/>
                      <a14:backgroundMark x1="95807" y1="13158" x2="95807" y2="13158"/>
                      <a14:backgroundMark x1="94565" y1="6579" x2="98447" y2="21053"/>
                      <a14:backgroundMark x1="99522" y1="28947" x2="99612" y2="29605"/>
                      <a14:backgroundMark x1="98447" y1="21053" x2="99522" y2="28947"/>
                    </a14:backgroundRemoval>
                  </a14:imgEffect>
                </a14:imgLayer>
              </a14:imgProps>
            </a:ext>
          </a:extLst>
        </a:blip>
        <a:srcRect l="56359"/>
        <a:stretch/>
      </xdr:blipFill>
      <xdr:spPr>
        <a:xfrm>
          <a:off x="7035800" y="998219"/>
          <a:ext cx="1795780" cy="489171"/>
        </a:xfrm>
        <a:prstGeom prst="rect">
          <a:avLst/>
        </a:prstGeom>
      </xdr:spPr>
    </xdr:pic>
    <xdr:clientData/>
  </xdr:twoCellAnchor>
  <xdr:twoCellAnchor>
    <xdr:from>
      <xdr:col>2</xdr:col>
      <xdr:colOff>952500</xdr:colOff>
      <xdr:row>7</xdr:row>
      <xdr:rowOff>22860</xdr:rowOff>
    </xdr:from>
    <xdr:to>
      <xdr:col>6</xdr:col>
      <xdr:colOff>45720</xdr:colOff>
      <xdr:row>19</xdr:row>
      <xdr:rowOff>144780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2484120</xdr:colOff>
      <xdr:row>6</xdr:row>
      <xdr:rowOff>114300</xdr:rowOff>
    </xdr:from>
    <xdr:to>
      <xdr:col>7</xdr:col>
      <xdr:colOff>251460</xdr:colOff>
      <xdr:row>7</xdr:row>
      <xdr:rowOff>53340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aber%20Infinite%20F81\Clients\International\AEL%20Uganda\Workshop%203\FICS_Client%20Commitment%20Tracker_Workshop%20Sep%202024_Afroplast%20Enterprises%20L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WS 6"/>
      <sheetName val="WS-3-2024"/>
      <sheetName val="Key to Score"/>
    </sheetNames>
    <sheetDataSet>
      <sheetData sheetId="0">
        <row r="7">
          <cell r="C7" t="str">
            <v>WS 1</v>
          </cell>
        </row>
      </sheetData>
      <sheetData sheetId="1">
        <row r="16">
          <cell r="M16" t="str">
            <v>Value</v>
          </cell>
          <cell r="N16">
            <v>0</v>
          </cell>
        </row>
        <row r="17">
          <cell r="M17" t="str">
            <v xml:space="preserve">Point </v>
          </cell>
          <cell r="N17">
            <v>0.02</v>
          </cell>
        </row>
        <row r="18">
          <cell r="M18" t="str">
            <v>Remain</v>
          </cell>
          <cell r="N18">
            <v>1.98</v>
          </cell>
        </row>
        <row r="21">
          <cell r="M21" t="str">
            <v>Very Poor</v>
          </cell>
          <cell r="N21">
            <v>20</v>
          </cell>
        </row>
        <row r="22">
          <cell r="M22" t="str">
            <v>Poor</v>
          </cell>
          <cell r="N22">
            <v>20</v>
          </cell>
        </row>
        <row r="23">
          <cell r="M23" t="str">
            <v>Average</v>
          </cell>
          <cell r="N23">
            <v>20</v>
          </cell>
        </row>
        <row r="24">
          <cell r="M24" t="str">
            <v>Good</v>
          </cell>
          <cell r="N24">
            <v>20</v>
          </cell>
        </row>
        <row r="25">
          <cell r="M25" t="str">
            <v>Very Good</v>
          </cell>
          <cell r="N25">
            <v>20</v>
          </cell>
        </row>
        <row r="26">
          <cell r="M26" t="str">
            <v>Remain</v>
          </cell>
          <cell r="N26">
            <v>100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7"/>
  <sheetViews>
    <sheetView zoomScaleNormal="100" workbookViewId="0">
      <selection activeCell="A6" sqref="A6:F6"/>
    </sheetView>
  </sheetViews>
  <sheetFormatPr defaultColWidth="8.81640625" defaultRowHeight="14.5" x14ac:dyDescent="0.35"/>
  <cols>
    <col min="1" max="1" width="14.7265625" style="3" customWidth="1"/>
    <col min="2" max="2" width="19.54296875" style="3" customWidth="1"/>
    <col min="3" max="6" width="15.81640625" style="3" customWidth="1"/>
    <col min="7" max="7" width="35.453125" style="3" customWidth="1"/>
    <col min="8" max="16384" width="8.81640625" style="3"/>
  </cols>
  <sheetData>
    <row r="1" spans="1:7" ht="23.5" x14ac:dyDescent="0.35">
      <c r="A1" s="123" t="s">
        <v>0</v>
      </c>
      <c r="B1" s="124"/>
      <c r="C1" s="125"/>
      <c r="D1" s="125"/>
      <c r="E1" s="125"/>
      <c r="F1" s="125"/>
      <c r="G1" s="126"/>
    </row>
    <row r="2" spans="1:7" ht="15.5" x14ac:dyDescent="0.35">
      <c r="A2" s="127" t="s">
        <v>1</v>
      </c>
      <c r="B2" s="128"/>
      <c r="C2" s="129" t="s">
        <v>74</v>
      </c>
      <c r="D2" s="129"/>
      <c r="E2" s="129"/>
      <c r="F2" s="129"/>
      <c r="G2" s="130"/>
    </row>
    <row r="3" spans="1:7" ht="15.5" x14ac:dyDescent="0.35">
      <c r="A3" s="131" t="s">
        <v>2</v>
      </c>
      <c r="B3" s="132"/>
      <c r="C3" s="135" t="s">
        <v>75</v>
      </c>
      <c r="D3" s="136"/>
      <c r="E3" s="136"/>
      <c r="F3" s="137"/>
      <c r="G3" s="130"/>
    </row>
    <row r="4" spans="1:7" ht="15.5" x14ac:dyDescent="0.35">
      <c r="A4" s="131" t="s">
        <v>3</v>
      </c>
      <c r="B4" s="132"/>
      <c r="C4" s="135" t="s">
        <v>76</v>
      </c>
      <c r="D4" s="136"/>
      <c r="E4" s="136"/>
      <c r="F4" s="137"/>
      <c r="G4" s="130"/>
    </row>
    <row r="5" spans="1:7" ht="16" thickBot="1" x14ac:dyDescent="0.4">
      <c r="A5" s="133" t="s">
        <v>4</v>
      </c>
      <c r="B5" s="134"/>
      <c r="C5" s="135" t="s">
        <v>77</v>
      </c>
      <c r="D5" s="136"/>
      <c r="E5" s="136"/>
      <c r="F5" s="137"/>
      <c r="G5" s="130"/>
    </row>
    <row r="6" spans="1:7" ht="19" thickBot="1" x14ac:dyDescent="0.4">
      <c r="A6" s="101" t="s">
        <v>5</v>
      </c>
      <c r="B6" s="102"/>
      <c r="C6" s="103"/>
      <c r="D6" s="103"/>
      <c r="E6" s="103"/>
      <c r="F6" s="103"/>
      <c r="G6" s="104" t="s">
        <v>6</v>
      </c>
    </row>
    <row r="7" spans="1:7" ht="16" thickBot="1" x14ac:dyDescent="0.4">
      <c r="A7" s="106" t="s">
        <v>7</v>
      </c>
      <c r="B7" s="107"/>
      <c r="C7" s="58" t="s">
        <v>8</v>
      </c>
      <c r="D7" s="58" t="s">
        <v>9</v>
      </c>
      <c r="E7" s="58" t="s">
        <v>10</v>
      </c>
      <c r="F7" s="58" t="s">
        <v>11</v>
      </c>
      <c r="G7" s="105"/>
    </row>
    <row r="8" spans="1:7" ht="15.5" x14ac:dyDescent="0.35">
      <c r="A8" s="108" t="str">
        <f>'T &amp; M (WS1)'!C29</f>
        <v>Top Management Commitment</v>
      </c>
      <c r="B8" s="109"/>
      <c r="C8" s="59">
        <f>'T &amp; M (WS1)'!D29</f>
        <v>0.76</v>
      </c>
      <c r="D8" s="59">
        <f>'T &amp; M (WS2)'!D29</f>
        <v>0.88</v>
      </c>
      <c r="E8" s="59">
        <f>'T &amp; M (WS3)'!D29</f>
        <v>0.88</v>
      </c>
      <c r="F8" s="59">
        <f>'T &amp; M (WS4)'!D29</f>
        <v>0.88</v>
      </c>
      <c r="G8" s="63">
        <f>AVERAGE(C8:F8)</f>
        <v>0.85</v>
      </c>
    </row>
    <row r="9" spans="1:7" ht="15.5" x14ac:dyDescent="0.35">
      <c r="A9" s="110" t="str">
        <f>'T &amp; M (WS1)'!C37</f>
        <v>Departmental Heads' Commitment</v>
      </c>
      <c r="B9" s="111"/>
      <c r="C9" s="60">
        <f>'T &amp; M (WS1)'!D37</f>
        <v>0.75</v>
      </c>
      <c r="D9" s="60">
        <f>'T &amp; M (WS2)'!D37</f>
        <v>0.8</v>
      </c>
      <c r="E9" s="60">
        <f>'T &amp; M (WS3)'!D37</f>
        <v>0.8</v>
      </c>
      <c r="F9" s="60">
        <f>'T &amp; M (WS4)'!D37</f>
        <v>0.8</v>
      </c>
      <c r="G9" s="63">
        <f>AVERAGE(C9:F9)</f>
        <v>0.78750000000000009</v>
      </c>
    </row>
    <row r="10" spans="1:7" ht="15.5" x14ac:dyDescent="0.35">
      <c r="A10" s="110" t="str">
        <f>'T &amp; M (WS1)'!C45</f>
        <v>Managerial Team's Commitment</v>
      </c>
      <c r="B10" s="111"/>
      <c r="C10" s="60">
        <f>'T &amp; M (WS1)'!D45</f>
        <v>0.8</v>
      </c>
      <c r="D10" s="60">
        <f>'T &amp; M (WS2)'!D45</f>
        <v>0.6</v>
      </c>
      <c r="E10" s="60">
        <f>'T &amp; M (WS3)'!D45</f>
        <v>0.6</v>
      </c>
      <c r="F10" s="60">
        <f>'T &amp; M (WS4)'!D45</f>
        <v>0.6</v>
      </c>
      <c r="G10" s="63">
        <f>AVERAGE(C10:F10)</f>
        <v>0.65</v>
      </c>
    </row>
    <row r="11" spans="1:7" ht="16" thickBot="1" x14ac:dyDescent="0.4">
      <c r="A11" s="112" t="s">
        <v>12</v>
      </c>
      <c r="B11" s="113"/>
      <c r="C11" s="61">
        <f>'T &amp; M (WS1)'!D53</f>
        <v>0.68</v>
      </c>
      <c r="D11" s="61">
        <f>'T &amp; M (WS2)'!D53</f>
        <v>1</v>
      </c>
      <c r="E11" s="61">
        <f>'T &amp; M (WS3)'!D53</f>
        <v>1</v>
      </c>
      <c r="F11" s="61">
        <f>'T &amp; M (WS4)'!D53</f>
        <v>1</v>
      </c>
      <c r="G11" s="64">
        <f>AVERAGE(C11:F11)</f>
        <v>0.92</v>
      </c>
    </row>
    <row r="12" spans="1:7" ht="16" thickBot="1" x14ac:dyDescent="0.4">
      <c r="A12" s="114" t="s">
        <v>13</v>
      </c>
      <c r="B12" s="115"/>
      <c r="C12" s="62">
        <f>'T &amp; M (WS1)'!D56</f>
        <v>0.74117647058823533</v>
      </c>
      <c r="D12" s="62">
        <f>'T &amp; M (WS2)'!D56</f>
        <v>0.84705882352941175</v>
      </c>
      <c r="E12" s="62">
        <f>'T &amp; M (WS3)'!D56</f>
        <v>0.84705882352941175</v>
      </c>
      <c r="F12" s="62">
        <f>'T &amp; M (WS4)'!D56</f>
        <v>0.84705882352941175</v>
      </c>
      <c r="G12" s="65">
        <f>AVERAGE(C12:F12)</f>
        <v>0.82058823529411773</v>
      </c>
    </row>
    <row r="13" spans="1:7" x14ac:dyDescent="0.35">
      <c r="A13" s="116"/>
      <c r="B13" s="117"/>
      <c r="C13" s="117"/>
      <c r="D13" s="117"/>
      <c r="E13" s="117"/>
      <c r="F13" s="117"/>
      <c r="G13" s="122"/>
    </row>
    <row r="14" spans="1:7" x14ac:dyDescent="0.35">
      <c r="A14" s="118"/>
      <c r="B14" s="119"/>
      <c r="C14" s="119"/>
      <c r="D14" s="119"/>
      <c r="E14" s="119"/>
      <c r="F14" s="119"/>
      <c r="G14" s="99"/>
    </row>
    <row r="15" spans="1:7" x14ac:dyDescent="0.35">
      <c r="A15" s="118"/>
      <c r="B15" s="119"/>
      <c r="C15" s="119"/>
      <c r="D15" s="119"/>
      <c r="E15" s="119"/>
      <c r="F15" s="119"/>
      <c r="G15" s="99"/>
    </row>
    <row r="16" spans="1:7" x14ac:dyDescent="0.35">
      <c r="A16" s="118"/>
      <c r="B16" s="119"/>
      <c r="C16" s="119"/>
      <c r="D16" s="119"/>
      <c r="E16" s="119"/>
      <c r="F16" s="119"/>
      <c r="G16" s="99"/>
    </row>
    <row r="17" spans="1:7" x14ac:dyDescent="0.35">
      <c r="A17" s="118"/>
      <c r="B17" s="119"/>
      <c r="C17" s="119"/>
      <c r="D17" s="119"/>
      <c r="E17" s="119"/>
      <c r="F17" s="119"/>
      <c r="G17" s="99"/>
    </row>
    <row r="18" spans="1:7" x14ac:dyDescent="0.35">
      <c r="A18" s="118"/>
      <c r="B18" s="119"/>
      <c r="C18" s="119"/>
      <c r="D18" s="119"/>
      <c r="E18" s="119"/>
      <c r="F18" s="119"/>
      <c r="G18" s="99"/>
    </row>
    <row r="19" spans="1:7" x14ac:dyDescent="0.35">
      <c r="A19" s="118"/>
      <c r="B19" s="119"/>
      <c r="C19" s="119"/>
      <c r="D19" s="119"/>
      <c r="E19" s="119"/>
      <c r="F19" s="119"/>
      <c r="G19" s="99"/>
    </row>
    <row r="20" spans="1:7" x14ac:dyDescent="0.35">
      <c r="A20" s="118"/>
      <c r="B20" s="119"/>
      <c r="C20" s="119"/>
      <c r="D20" s="119"/>
      <c r="E20" s="119"/>
      <c r="F20" s="119"/>
      <c r="G20" s="99"/>
    </row>
    <row r="21" spans="1:7" x14ac:dyDescent="0.35">
      <c r="A21" s="118"/>
      <c r="B21" s="119"/>
      <c r="C21" s="119"/>
      <c r="D21" s="119"/>
      <c r="E21" s="119"/>
      <c r="F21" s="119"/>
      <c r="G21" s="99"/>
    </row>
    <row r="22" spans="1:7" ht="15" thickBot="1" x14ac:dyDescent="0.4">
      <c r="A22" s="120"/>
      <c r="B22" s="121"/>
      <c r="C22" s="121"/>
      <c r="D22" s="121"/>
      <c r="E22" s="121"/>
      <c r="F22" s="121"/>
      <c r="G22" s="100"/>
    </row>
    <row r="23" spans="1:7" x14ac:dyDescent="0.35">
      <c r="A23" s="93"/>
      <c r="B23" s="94"/>
      <c r="C23" s="94"/>
      <c r="D23" s="94"/>
      <c r="E23" s="94"/>
      <c r="F23" s="94"/>
      <c r="G23" s="99"/>
    </row>
    <row r="24" spans="1:7" x14ac:dyDescent="0.35">
      <c r="A24" s="95"/>
      <c r="B24" s="96"/>
      <c r="C24" s="96"/>
      <c r="D24" s="96"/>
      <c r="E24" s="96"/>
      <c r="F24" s="96"/>
      <c r="G24" s="99"/>
    </row>
    <row r="25" spans="1:7" x14ac:dyDescent="0.35">
      <c r="A25" s="95"/>
      <c r="B25" s="96"/>
      <c r="C25" s="96"/>
      <c r="D25" s="96"/>
      <c r="E25" s="96"/>
      <c r="F25" s="96"/>
      <c r="G25" s="99"/>
    </row>
    <row r="26" spans="1:7" x14ac:dyDescent="0.35">
      <c r="A26" s="95"/>
      <c r="B26" s="96"/>
      <c r="C26" s="96"/>
      <c r="D26" s="96"/>
      <c r="E26" s="96"/>
      <c r="F26" s="96"/>
      <c r="G26" s="99"/>
    </row>
    <row r="27" spans="1:7" x14ac:dyDescent="0.35">
      <c r="A27" s="95"/>
      <c r="B27" s="96"/>
      <c r="C27" s="96"/>
      <c r="D27" s="96"/>
      <c r="E27" s="96"/>
      <c r="F27" s="96"/>
      <c r="G27" s="99"/>
    </row>
    <row r="28" spans="1:7" x14ac:dyDescent="0.35">
      <c r="A28" s="95"/>
      <c r="B28" s="96"/>
      <c r="C28" s="96"/>
      <c r="D28" s="96"/>
      <c r="E28" s="96"/>
      <c r="F28" s="96"/>
      <c r="G28" s="99"/>
    </row>
    <row r="29" spans="1:7" x14ac:dyDescent="0.35">
      <c r="A29" s="95"/>
      <c r="B29" s="96"/>
      <c r="C29" s="96"/>
      <c r="D29" s="96"/>
      <c r="E29" s="96"/>
      <c r="F29" s="96"/>
      <c r="G29" s="99"/>
    </row>
    <row r="30" spans="1:7" x14ac:dyDescent="0.35">
      <c r="A30" s="95"/>
      <c r="B30" s="96"/>
      <c r="C30" s="96"/>
      <c r="D30" s="96"/>
      <c r="E30" s="96"/>
      <c r="F30" s="96"/>
      <c r="G30" s="99"/>
    </row>
    <row r="31" spans="1:7" x14ac:dyDescent="0.35">
      <c r="A31" s="95"/>
      <c r="B31" s="96"/>
      <c r="C31" s="96"/>
      <c r="D31" s="96"/>
      <c r="E31" s="96"/>
      <c r="F31" s="96"/>
      <c r="G31" s="99"/>
    </row>
    <row r="32" spans="1:7" x14ac:dyDescent="0.35">
      <c r="A32" s="95"/>
      <c r="B32" s="96"/>
      <c r="C32" s="96"/>
      <c r="D32" s="96"/>
      <c r="E32" s="96"/>
      <c r="F32" s="96"/>
      <c r="G32" s="99"/>
    </row>
    <row r="33" spans="1:7" x14ac:dyDescent="0.35">
      <c r="A33" s="95"/>
      <c r="B33" s="96"/>
      <c r="C33" s="96"/>
      <c r="D33" s="96"/>
      <c r="E33" s="96"/>
      <c r="F33" s="96"/>
      <c r="G33" s="99"/>
    </row>
    <row r="34" spans="1:7" x14ac:dyDescent="0.35">
      <c r="A34" s="95"/>
      <c r="B34" s="96"/>
      <c r="C34" s="96"/>
      <c r="D34" s="96"/>
      <c r="E34" s="96"/>
      <c r="F34" s="96"/>
      <c r="G34" s="99"/>
    </row>
    <row r="35" spans="1:7" x14ac:dyDescent="0.35">
      <c r="A35" s="95"/>
      <c r="B35" s="96"/>
      <c r="C35" s="96"/>
      <c r="D35" s="96"/>
      <c r="E35" s="96"/>
      <c r="F35" s="96"/>
      <c r="G35" s="99"/>
    </row>
    <row r="36" spans="1:7" x14ac:dyDescent="0.35">
      <c r="A36" s="95"/>
      <c r="B36" s="96"/>
      <c r="C36" s="96"/>
      <c r="D36" s="96"/>
      <c r="E36" s="96"/>
      <c r="F36" s="96"/>
      <c r="G36" s="99"/>
    </row>
    <row r="37" spans="1:7" ht="15" thickBot="1" x14ac:dyDescent="0.4">
      <c r="A37" s="97"/>
      <c r="B37" s="98"/>
      <c r="C37" s="98"/>
      <c r="D37" s="98"/>
      <c r="E37" s="98"/>
      <c r="F37" s="98"/>
      <c r="G37" s="100"/>
    </row>
  </sheetData>
  <mergeCells count="22">
    <mergeCell ref="A1:G1"/>
    <mergeCell ref="A2:B2"/>
    <mergeCell ref="C2:F2"/>
    <mergeCell ref="G2:G5"/>
    <mergeCell ref="A3:B3"/>
    <mergeCell ref="A4:B4"/>
    <mergeCell ref="A5:B5"/>
    <mergeCell ref="C5:F5"/>
    <mergeCell ref="C3:F3"/>
    <mergeCell ref="C4:F4"/>
    <mergeCell ref="A23:F37"/>
    <mergeCell ref="G23:G37"/>
    <mergeCell ref="A6:F6"/>
    <mergeCell ref="G6:G7"/>
    <mergeCell ref="A7:B7"/>
    <mergeCell ref="A8:B8"/>
    <mergeCell ref="A9:B9"/>
    <mergeCell ref="A10:B10"/>
    <mergeCell ref="A11:B11"/>
    <mergeCell ref="A12:B12"/>
    <mergeCell ref="A13:F22"/>
    <mergeCell ref="G13:G22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7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9"/>
  <sheetViews>
    <sheetView tabSelected="1" zoomScale="80" zoomScaleNormal="80" workbookViewId="0">
      <selection activeCell="A7" sqref="A7:G20"/>
    </sheetView>
  </sheetViews>
  <sheetFormatPr defaultColWidth="8.81640625" defaultRowHeight="14.5" x14ac:dyDescent="0.35"/>
  <cols>
    <col min="1" max="1" width="9.7265625" style="3" customWidth="1"/>
    <col min="2" max="2" width="20" style="3" customWidth="1"/>
    <col min="3" max="3" width="74.81640625" style="3" customWidth="1"/>
    <col min="4" max="4" width="9.7265625" style="6" customWidth="1"/>
    <col min="5" max="5" width="2.26953125" style="3" customWidth="1"/>
    <col min="6" max="6" width="20.81640625" style="3" customWidth="1"/>
    <col min="7" max="7" width="5.7265625" style="6" customWidth="1"/>
    <col min="8" max="8" width="8.81640625" style="3"/>
    <col min="9" max="9" width="21.26953125" style="5" customWidth="1"/>
    <col min="10" max="12" width="8.81640625" style="5"/>
    <col min="13" max="14" width="8.81640625" style="40"/>
    <col min="15" max="16384" width="8.81640625" style="3"/>
  </cols>
  <sheetData>
    <row r="1" spans="1:14" s="1" customFormat="1" ht="24" thickBot="1" x14ac:dyDescent="0.4">
      <c r="A1" s="123" t="s">
        <v>0</v>
      </c>
      <c r="B1" s="124"/>
      <c r="C1" s="124"/>
      <c r="D1" s="124"/>
      <c r="E1" s="124"/>
      <c r="F1" s="124"/>
      <c r="G1" s="161"/>
      <c r="I1" s="49"/>
      <c r="J1" s="49"/>
      <c r="K1" s="49"/>
      <c r="L1" s="49"/>
      <c r="M1" s="38"/>
      <c r="N1" s="38"/>
    </row>
    <row r="2" spans="1:14" s="2" customFormat="1" ht="15.5" x14ac:dyDescent="0.35">
      <c r="A2" s="162" t="s">
        <v>1</v>
      </c>
      <c r="B2" s="163"/>
      <c r="C2" s="8" t="s">
        <v>79</v>
      </c>
      <c r="D2" s="164"/>
      <c r="E2" s="165"/>
      <c r="F2" s="165"/>
      <c r="G2" s="166"/>
      <c r="I2" s="50"/>
      <c r="J2" s="50"/>
      <c r="K2" s="50"/>
      <c r="L2" s="50"/>
      <c r="M2" s="39"/>
      <c r="N2" s="39"/>
    </row>
    <row r="3" spans="1:14" s="2" customFormat="1" ht="15.5" x14ac:dyDescent="0.35">
      <c r="A3" s="131" t="s">
        <v>14</v>
      </c>
      <c r="B3" s="132"/>
      <c r="C3" s="9">
        <v>1</v>
      </c>
      <c r="D3" s="167"/>
      <c r="E3" s="168"/>
      <c r="F3" s="168"/>
      <c r="G3" s="169"/>
      <c r="I3" s="50"/>
      <c r="J3" s="50"/>
      <c r="K3" s="50"/>
      <c r="L3" s="50"/>
      <c r="M3" s="39"/>
      <c r="N3" s="39"/>
    </row>
    <row r="4" spans="1:14" s="2" customFormat="1" ht="15.5" x14ac:dyDescent="0.35">
      <c r="A4" s="131" t="s">
        <v>2</v>
      </c>
      <c r="B4" s="132"/>
      <c r="C4" s="9" t="s">
        <v>80</v>
      </c>
      <c r="D4" s="167"/>
      <c r="E4" s="168"/>
      <c r="F4" s="168"/>
      <c r="G4" s="169"/>
      <c r="I4" s="50"/>
      <c r="J4" s="50"/>
      <c r="K4" s="50"/>
      <c r="L4" s="50"/>
      <c r="M4" s="39"/>
      <c r="N4" s="39"/>
    </row>
    <row r="5" spans="1:14" s="2" customFormat="1" ht="15.5" x14ac:dyDescent="0.35">
      <c r="A5" s="131" t="s">
        <v>3</v>
      </c>
      <c r="B5" s="132"/>
      <c r="C5" s="9" t="s">
        <v>75</v>
      </c>
      <c r="D5" s="167"/>
      <c r="E5" s="168"/>
      <c r="F5" s="168"/>
      <c r="G5" s="169"/>
      <c r="I5" s="50"/>
      <c r="J5" s="50"/>
      <c r="K5" s="50"/>
      <c r="L5" s="50"/>
      <c r="M5" s="39"/>
      <c r="N5" s="39"/>
    </row>
    <row r="6" spans="1:14" s="2" customFormat="1" ht="16" thickBot="1" x14ac:dyDescent="0.4">
      <c r="A6" s="133" t="s">
        <v>15</v>
      </c>
      <c r="B6" s="134"/>
      <c r="C6" s="10" t="s">
        <v>81</v>
      </c>
      <c r="D6" s="170"/>
      <c r="E6" s="171"/>
      <c r="F6" s="171"/>
      <c r="G6" s="172"/>
      <c r="I6" s="50"/>
      <c r="J6" s="50"/>
      <c r="K6" s="50"/>
      <c r="L6" s="50"/>
      <c r="M6" s="39"/>
      <c r="N6" s="39"/>
    </row>
    <row r="7" spans="1:14" x14ac:dyDescent="0.35">
      <c r="A7" s="173"/>
      <c r="B7" s="174"/>
      <c r="C7" s="174"/>
      <c r="D7" s="174"/>
      <c r="E7" s="174"/>
      <c r="F7" s="174"/>
      <c r="G7" s="175"/>
    </row>
    <row r="8" spans="1:14" x14ac:dyDescent="0.35">
      <c r="A8" s="176"/>
      <c r="B8" s="177"/>
      <c r="C8" s="177"/>
      <c r="D8" s="177"/>
      <c r="E8" s="177"/>
      <c r="F8" s="177"/>
      <c r="G8" s="178"/>
    </row>
    <row r="9" spans="1:14" x14ac:dyDescent="0.35">
      <c r="A9" s="176"/>
      <c r="B9" s="177"/>
      <c r="C9" s="177"/>
      <c r="D9" s="177"/>
      <c r="E9" s="177"/>
      <c r="F9" s="177"/>
      <c r="G9" s="178"/>
    </row>
    <row r="10" spans="1:14" x14ac:dyDescent="0.35">
      <c r="A10" s="176"/>
      <c r="B10" s="177"/>
      <c r="C10" s="177"/>
      <c r="D10" s="177"/>
      <c r="E10" s="177"/>
      <c r="F10" s="177"/>
      <c r="G10" s="178"/>
    </row>
    <row r="11" spans="1:14" x14ac:dyDescent="0.35">
      <c r="A11" s="176"/>
      <c r="B11" s="177"/>
      <c r="C11" s="177"/>
      <c r="D11" s="177"/>
      <c r="E11" s="177"/>
      <c r="F11" s="177"/>
      <c r="G11" s="178"/>
    </row>
    <row r="12" spans="1:14" x14ac:dyDescent="0.35">
      <c r="A12" s="176"/>
      <c r="B12" s="177"/>
      <c r="C12" s="177"/>
      <c r="D12" s="177"/>
      <c r="E12" s="177"/>
      <c r="F12" s="177"/>
      <c r="G12" s="178"/>
    </row>
    <row r="13" spans="1:14" x14ac:dyDescent="0.35">
      <c r="A13" s="176"/>
      <c r="B13" s="177"/>
      <c r="C13" s="177"/>
      <c r="D13" s="177"/>
      <c r="E13" s="177"/>
      <c r="F13" s="177"/>
      <c r="G13" s="178"/>
    </row>
    <row r="14" spans="1:14" x14ac:dyDescent="0.35">
      <c r="A14" s="176"/>
      <c r="B14" s="177"/>
      <c r="C14" s="177"/>
      <c r="D14" s="177"/>
      <c r="E14" s="177"/>
      <c r="F14" s="177"/>
      <c r="G14" s="178"/>
    </row>
    <row r="15" spans="1:14" x14ac:dyDescent="0.35">
      <c r="A15" s="176"/>
      <c r="B15" s="177"/>
      <c r="C15" s="177"/>
      <c r="D15" s="177"/>
      <c r="E15" s="177"/>
      <c r="F15" s="177"/>
      <c r="G15" s="178"/>
      <c r="M15" s="35" t="s">
        <v>16</v>
      </c>
      <c r="N15" s="35"/>
    </row>
    <row r="16" spans="1:14" x14ac:dyDescent="0.35">
      <c r="A16" s="176"/>
      <c r="B16" s="177"/>
      <c r="C16" s="177"/>
      <c r="D16" s="177"/>
      <c r="E16" s="177"/>
      <c r="F16" s="177"/>
      <c r="G16" s="178"/>
      <c r="M16" s="35" t="s">
        <v>17</v>
      </c>
      <c r="N16" s="36">
        <f>D56</f>
        <v>0.74117647058823533</v>
      </c>
    </row>
    <row r="17" spans="1:14" x14ac:dyDescent="0.35">
      <c r="A17" s="176"/>
      <c r="B17" s="177"/>
      <c r="C17" s="177"/>
      <c r="D17" s="177"/>
      <c r="E17" s="177"/>
      <c r="F17" s="177"/>
      <c r="G17" s="178"/>
      <c r="M17" s="35" t="s">
        <v>18</v>
      </c>
      <c r="N17" s="37">
        <v>0.02</v>
      </c>
    </row>
    <row r="18" spans="1:14" x14ac:dyDescent="0.35">
      <c r="A18" s="176"/>
      <c r="B18" s="177"/>
      <c r="C18" s="177"/>
      <c r="D18" s="177"/>
      <c r="E18" s="177"/>
      <c r="F18" s="177"/>
      <c r="G18" s="178"/>
      <c r="M18" s="35" t="s">
        <v>19</v>
      </c>
      <c r="N18" s="36">
        <f>200%-(N16+N17)</f>
        <v>1.2388235294117647</v>
      </c>
    </row>
    <row r="19" spans="1:14" x14ac:dyDescent="0.35">
      <c r="A19" s="176"/>
      <c r="B19" s="177"/>
      <c r="C19" s="177"/>
      <c r="D19" s="177"/>
      <c r="E19" s="177"/>
      <c r="F19" s="177"/>
      <c r="G19" s="178"/>
    </row>
    <row r="20" spans="1:14" ht="15" thickBot="1" x14ac:dyDescent="0.4">
      <c r="A20" s="179"/>
      <c r="B20" s="180"/>
      <c r="C20" s="180"/>
      <c r="D20" s="180"/>
      <c r="E20" s="180"/>
      <c r="F20" s="180"/>
      <c r="G20" s="181"/>
      <c r="M20" s="35" t="s">
        <v>20</v>
      </c>
      <c r="N20" s="35"/>
    </row>
    <row r="21" spans="1:14" s="4" customFormat="1" ht="16" thickBot="1" x14ac:dyDescent="0.4">
      <c r="A21" s="11" t="s">
        <v>21</v>
      </c>
      <c r="B21" s="12" t="s">
        <v>7</v>
      </c>
      <c r="C21" s="17" t="s">
        <v>22</v>
      </c>
      <c r="D21" s="20" t="s">
        <v>23</v>
      </c>
      <c r="E21" s="66"/>
      <c r="F21" s="182" t="s">
        <v>24</v>
      </c>
      <c r="G21" s="183"/>
      <c r="I21" s="51"/>
      <c r="J21" s="51"/>
      <c r="K21" s="51"/>
      <c r="L21" s="51"/>
      <c r="M21" s="35" t="s">
        <v>25</v>
      </c>
      <c r="N21" s="35">
        <v>20</v>
      </c>
    </row>
    <row r="22" spans="1:14" ht="30" customHeight="1" x14ac:dyDescent="0.35">
      <c r="A22" s="27">
        <v>1</v>
      </c>
      <c r="B22" s="148" t="s">
        <v>26</v>
      </c>
      <c r="C22" s="29" t="s">
        <v>87</v>
      </c>
      <c r="D22" s="55">
        <v>4</v>
      </c>
      <c r="E22" s="67"/>
      <c r="F22" s="68" t="s">
        <v>28</v>
      </c>
      <c r="G22" s="69">
        <v>5</v>
      </c>
      <c r="M22" s="35" t="s">
        <v>29</v>
      </c>
      <c r="N22" s="35">
        <v>20</v>
      </c>
    </row>
    <row r="23" spans="1:14" ht="30" customHeight="1" x14ac:dyDescent="0.35">
      <c r="A23" s="28">
        <f>A22+1</f>
        <v>2</v>
      </c>
      <c r="B23" s="148"/>
      <c r="C23" s="30" t="s">
        <v>30</v>
      </c>
      <c r="D23" s="21">
        <v>4</v>
      </c>
      <c r="E23" s="67"/>
      <c r="F23" s="70" t="s">
        <v>31</v>
      </c>
      <c r="G23" s="71">
        <v>4</v>
      </c>
      <c r="M23" s="35" t="s">
        <v>32</v>
      </c>
      <c r="N23" s="35">
        <v>20</v>
      </c>
    </row>
    <row r="24" spans="1:14" ht="30" customHeight="1" x14ac:dyDescent="0.35">
      <c r="A24" s="28">
        <f>A23+1</f>
        <v>3</v>
      </c>
      <c r="B24" s="148"/>
      <c r="C24" s="30" t="s">
        <v>33</v>
      </c>
      <c r="D24" s="21">
        <v>4</v>
      </c>
      <c r="E24" s="67"/>
      <c r="F24" s="72" t="s">
        <v>34</v>
      </c>
      <c r="G24" s="73">
        <v>3</v>
      </c>
      <c r="M24" s="35" t="s">
        <v>35</v>
      </c>
      <c r="N24" s="35">
        <v>20</v>
      </c>
    </row>
    <row r="25" spans="1:14" ht="30" customHeight="1" x14ac:dyDescent="0.35">
      <c r="A25" s="28">
        <f>A24+1</f>
        <v>4</v>
      </c>
      <c r="B25" s="148"/>
      <c r="C25" s="52" t="s">
        <v>36</v>
      </c>
      <c r="D25" s="21">
        <v>4</v>
      </c>
      <c r="E25" s="67"/>
      <c r="F25" s="74" t="s">
        <v>37</v>
      </c>
      <c r="G25" s="75">
        <v>2</v>
      </c>
      <c r="M25" s="35" t="s">
        <v>38</v>
      </c>
      <c r="N25" s="35">
        <v>20</v>
      </c>
    </row>
    <row r="26" spans="1:14" ht="30" customHeight="1" thickBot="1" x14ac:dyDescent="0.4">
      <c r="A26" s="28">
        <f>A25+1</f>
        <v>5</v>
      </c>
      <c r="B26" s="148"/>
      <c r="C26" s="30" t="s">
        <v>39</v>
      </c>
      <c r="D26" s="56">
        <v>3</v>
      </c>
      <c r="E26" s="67"/>
      <c r="F26" s="76" t="s">
        <v>40</v>
      </c>
      <c r="G26" s="77">
        <v>1</v>
      </c>
      <c r="M26" s="35" t="s">
        <v>19</v>
      </c>
      <c r="N26" s="35">
        <v>100</v>
      </c>
    </row>
    <row r="27" spans="1:14" ht="25" customHeight="1" x14ac:dyDescent="0.35">
      <c r="A27" s="138"/>
      <c r="B27" s="148"/>
      <c r="C27" s="18" t="s">
        <v>41</v>
      </c>
      <c r="D27" s="22">
        <f>SUM(D22:D26)</f>
        <v>19</v>
      </c>
      <c r="E27" s="67"/>
      <c r="F27" s="184"/>
      <c r="G27" s="185"/>
    </row>
    <row r="28" spans="1:14" ht="25" customHeight="1" x14ac:dyDescent="0.35">
      <c r="A28" s="139"/>
      <c r="B28" s="148"/>
      <c r="C28" s="18" t="s">
        <v>42</v>
      </c>
      <c r="D28" s="54">
        <f>COUNT(A22:A26)*$G$22</f>
        <v>25</v>
      </c>
      <c r="E28" s="67"/>
      <c r="F28" s="186"/>
      <c r="G28" s="187"/>
    </row>
    <row r="29" spans="1:14" ht="25" customHeight="1" thickBot="1" x14ac:dyDescent="0.4">
      <c r="A29" s="140"/>
      <c r="B29" s="149"/>
      <c r="C29" s="19" t="s">
        <v>26</v>
      </c>
      <c r="D29" s="23">
        <f>D27/D28</f>
        <v>0.76</v>
      </c>
      <c r="E29" s="67"/>
      <c r="F29" s="186"/>
      <c r="G29" s="187"/>
    </row>
    <row r="30" spans="1:14" ht="18.75" customHeight="1" x14ac:dyDescent="0.35">
      <c r="A30" s="150">
        <f>A26+1</f>
        <v>6</v>
      </c>
      <c r="B30" s="148" t="s">
        <v>43</v>
      </c>
      <c r="C30" s="160" t="s">
        <v>44</v>
      </c>
      <c r="D30" s="152">
        <v>4</v>
      </c>
      <c r="E30" s="78"/>
      <c r="F30" s="186"/>
      <c r="G30" s="187"/>
    </row>
    <row r="31" spans="1:14" ht="18.75" customHeight="1" x14ac:dyDescent="0.35">
      <c r="A31" s="151"/>
      <c r="B31" s="148"/>
      <c r="C31" s="156"/>
      <c r="D31" s="153"/>
      <c r="E31" s="78"/>
      <c r="F31" s="186"/>
      <c r="G31" s="187"/>
    </row>
    <row r="32" spans="1:14" ht="36.75" customHeight="1" x14ac:dyDescent="0.35">
      <c r="A32" s="28">
        <f>A30+1</f>
        <v>7</v>
      </c>
      <c r="B32" s="148"/>
      <c r="C32" s="29" t="s">
        <v>86</v>
      </c>
      <c r="D32" s="21">
        <v>3</v>
      </c>
      <c r="E32" s="78"/>
      <c r="F32" s="186"/>
      <c r="G32" s="187"/>
    </row>
    <row r="33" spans="1:7" ht="36.75" customHeight="1" x14ac:dyDescent="0.35">
      <c r="A33" s="28">
        <f t="shared" ref="A33:A34" si="0">A32+1</f>
        <v>8</v>
      </c>
      <c r="B33" s="148"/>
      <c r="C33" s="29" t="s">
        <v>78</v>
      </c>
      <c r="D33" s="21">
        <v>4</v>
      </c>
      <c r="E33" s="78"/>
      <c r="F33" s="186"/>
      <c r="G33" s="187"/>
    </row>
    <row r="34" spans="1:7" ht="35.25" customHeight="1" x14ac:dyDescent="0.35">
      <c r="A34" s="28">
        <f t="shared" si="0"/>
        <v>9</v>
      </c>
      <c r="B34" s="148"/>
      <c r="C34" s="29" t="s">
        <v>47</v>
      </c>
      <c r="D34" s="21">
        <v>4</v>
      </c>
      <c r="E34" s="78"/>
      <c r="F34" s="186"/>
      <c r="G34" s="187"/>
    </row>
    <row r="35" spans="1:7" ht="25" customHeight="1" x14ac:dyDescent="0.35">
      <c r="A35" s="138"/>
      <c r="B35" s="148"/>
      <c r="C35" s="18" t="s">
        <v>41</v>
      </c>
      <c r="D35" s="22">
        <f>SUM(D30:D34)</f>
        <v>15</v>
      </c>
      <c r="E35" s="78"/>
      <c r="F35" s="186"/>
      <c r="G35" s="187"/>
    </row>
    <row r="36" spans="1:7" ht="25" customHeight="1" x14ac:dyDescent="0.35">
      <c r="A36" s="139"/>
      <c r="B36" s="148"/>
      <c r="C36" s="18" t="s">
        <v>42</v>
      </c>
      <c r="D36" s="22">
        <f>COUNT(A30:A34)*$G$22</f>
        <v>20</v>
      </c>
      <c r="E36" s="78"/>
      <c r="F36" s="186"/>
      <c r="G36" s="187"/>
    </row>
    <row r="37" spans="1:7" ht="25" customHeight="1" thickBot="1" x14ac:dyDescent="0.4">
      <c r="A37" s="140"/>
      <c r="B37" s="149"/>
      <c r="C37" s="19" t="s">
        <v>43</v>
      </c>
      <c r="D37" s="23">
        <f>D35/D36</f>
        <v>0.75</v>
      </c>
      <c r="E37" s="78"/>
      <c r="F37" s="186"/>
      <c r="G37" s="187"/>
    </row>
    <row r="38" spans="1:7" ht="24" customHeight="1" x14ac:dyDescent="0.35">
      <c r="A38" s="27">
        <f>A34+1</f>
        <v>10</v>
      </c>
      <c r="B38" s="147" t="s">
        <v>48</v>
      </c>
      <c r="C38" s="29" t="s">
        <v>49</v>
      </c>
      <c r="D38" s="21">
        <v>4</v>
      </c>
      <c r="E38" s="78"/>
      <c r="F38" s="186"/>
      <c r="G38" s="187"/>
    </row>
    <row r="39" spans="1:7" ht="24" customHeight="1" x14ac:dyDescent="0.35">
      <c r="A39" s="28">
        <f t="shared" ref="A39:A40" si="1">A38+1</f>
        <v>11</v>
      </c>
      <c r="B39" s="148"/>
      <c r="C39" s="52" t="s">
        <v>85</v>
      </c>
      <c r="D39" s="21">
        <v>4</v>
      </c>
      <c r="E39" s="78"/>
      <c r="F39" s="186"/>
      <c r="G39" s="187"/>
    </row>
    <row r="40" spans="1:7" ht="13.5" customHeight="1" x14ac:dyDescent="0.35">
      <c r="A40" s="159">
        <f t="shared" si="1"/>
        <v>12</v>
      </c>
      <c r="B40" s="148"/>
      <c r="C40" s="154" t="s">
        <v>51</v>
      </c>
      <c r="D40" s="157">
        <v>4</v>
      </c>
      <c r="E40" s="78"/>
      <c r="F40" s="186"/>
      <c r="G40" s="187"/>
    </row>
    <row r="41" spans="1:7" ht="13.5" customHeight="1" x14ac:dyDescent="0.35">
      <c r="A41" s="159"/>
      <c r="B41" s="148"/>
      <c r="C41" s="155"/>
      <c r="D41" s="158"/>
      <c r="E41" s="78"/>
      <c r="F41" s="186"/>
      <c r="G41" s="187"/>
    </row>
    <row r="42" spans="1:7" ht="13.5" customHeight="1" x14ac:dyDescent="0.35">
      <c r="A42" s="159"/>
      <c r="B42" s="148"/>
      <c r="C42" s="156"/>
      <c r="D42" s="153"/>
      <c r="E42" s="78"/>
      <c r="F42" s="186"/>
      <c r="G42" s="187"/>
    </row>
    <row r="43" spans="1:7" ht="25" customHeight="1" x14ac:dyDescent="0.35">
      <c r="A43" s="139"/>
      <c r="B43" s="148"/>
      <c r="C43" s="18" t="s">
        <v>41</v>
      </c>
      <c r="D43" s="22">
        <f>SUM(D38:D42)</f>
        <v>12</v>
      </c>
      <c r="E43" s="78"/>
      <c r="F43" s="186"/>
      <c r="G43" s="187"/>
    </row>
    <row r="44" spans="1:7" ht="25" customHeight="1" x14ac:dyDescent="0.35">
      <c r="A44" s="139"/>
      <c r="B44" s="148"/>
      <c r="C44" s="18" t="s">
        <v>42</v>
      </c>
      <c r="D44" s="22">
        <f>COUNT(A38:A42)*$G$22</f>
        <v>15</v>
      </c>
      <c r="E44" s="78"/>
      <c r="F44" s="186"/>
      <c r="G44" s="187"/>
    </row>
    <row r="45" spans="1:7" ht="25" customHeight="1" thickBot="1" x14ac:dyDescent="0.4">
      <c r="A45" s="140"/>
      <c r="B45" s="149"/>
      <c r="C45" s="19" t="s">
        <v>52</v>
      </c>
      <c r="D45" s="23">
        <f>D43/D44</f>
        <v>0.8</v>
      </c>
      <c r="E45" s="78"/>
      <c r="F45" s="186"/>
      <c r="G45" s="187"/>
    </row>
    <row r="46" spans="1:7" ht="23.25" customHeight="1" x14ac:dyDescent="0.35">
      <c r="A46" s="27">
        <f>A40+1</f>
        <v>13</v>
      </c>
      <c r="B46" s="147" t="s">
        <v>53</v>
      </c>
      <c r="C46" s="53" t="s">
        <v>84</v>
      </c>
      <c r="D46" s="21">
        <v>2</v>
      </c>
      <c r="E46" s="78"/>
      <c r="F46" s="186"/>
      <c r="G46" s="187"/>
    </row>
    <row r="47" spans="1:7" ht="23.25" customHeight="1" x14ac:dyDescent="0.35">
      <c r="A47" s="28">
        <f t="shared" ref="A47:A50" si="2">A46+1</f>
        <v>14</v>
      </c>
      <c r="B47" s="148"/>
      <c r="C47" s="30" t="s">
        <v>82</v>
      </c>
      <c r="D47" s="21">
        <v>3</v>
      </c>
      <c r="E47" s="78"/>
      <c r="F47" s="186"/>
      <c r="G47" s="187"/>
    </row>
    <row r="48" spans="1:7" ht="23.25" customHeight="1" x14ac:dyDescent="0.35">
      <c r="A48" s="28">
        <f t="shared" si="2"/>
        <v>15</v>
      </c>
      <c r="B48" s="148"/>
      <c r="C48" s="30" t="s">
        <v>83</v>
      </c>
      <c r="D48" s="21">
        <v>4</v>
      </c>
      <c r="E48" s="78"/>
      <c r="F48" s="186"/>
      <c r="G48" s="187"/>
    </row>
    <row r="49" spans="1:14" ht="23.25" customHeight="1" x14ac:dyDescent="0.35">
      <c r="A49" s="28">
        <f t="shared" si="2"/>
        <v>16</v>
      </c>
      <c r="B49" s="148"/>
      <c r="C49" s="30" t="s">
        <v>57</v>
      </c>
      <c r="D49" s="21">
        <v>4</v>
      </c>
      <c r="E49" s="78"/>
      <c r="F49" s="186"/>
      <c r="G49" s="187"/>
    </row>
    <row r="50" spans="1:14" ht="23.25" customHeight="1" x14ac:dyDescent="0.35">
      <c r="A50" s="28">
        <f t="shared" si="2"/>
        <v>17</v>
      </c>
      <c r="B50" s="148"/>
      <c r="C50" s="30" t="s">
        <v>58</v>
      </c>
      <c r="D50" s="21">
        <v>4</v>
      </c>
      <c r="E50" s="78"/>
      <c r="F50" s="186"/>
      <c r="G50" s="187"/>
    </row>
    <row r="51" spans="1:14" ht="25" customHeight="1" x14ac:dyDescent="0.35">
      <c r="A51" s="138"/>
      <c r="B51" s="148"/>
      <c r="C51" s="18" t="s">
        <v>41</v>
      </c>
      <c r="D51" s="22">
        <f>SUM(D46:D50)</f>
        <v>17</v>
      </c>
      <c r="E51" s="78"/>
      <c r="F51" s="186"/>
      <c r="G51" s="187"/>
    </row>
    <row r="52" spans="1:14" ht="25" customHeight="1" x14ac:dyDescent="0.35">
      <c r="A52" s="139"/>
      <c r="B52" s="148"/>
      <c r="C52" s="18" t="s">
        <v>42</v>
      </c>
      <c r="D52" s="22">
        <f>COUNT(A46:A50)*$G$22</f>
        <v>25</v>
      </c>
      <c r="E52" s="78"/>
      <c r="F52" s="186"/>
      <c r="G52" s="187"/>
    </row>
    <row r="53" spans="1:14" ht="25" customHeight="1" thickBot="1" x14ac:dyDescent="0.4">
      <c r="A53" s="140"/>
      <c r="B53" s="149"/>
      <c r="C53" s="19" t="s">
        <v>12</v>
      </c>
      <c r="D53" s="23">
        <f>D51/D52</f>
        <v>0.68</v>
      </c>
      <c r="E53" s="78"/>
      <c r="F53" s="186"/>
      <c r="G53" s="187"/>
    </row>
    <row r="54" spans="1:14" ht="15.75" customHeight="1" x14ac:dyDescent="0.35">
      <c r="A54" s="141"/>
      <c r="B54" s="142"/>
      <c r="C54" s="79" t="s">
        <v>59</v>
      </c>
      <c r="D54" s="80">
        <f>D27+D35+D43+D51</f>
        <v>63</v>
      </c>
      <c r="E54" s="78"/>
      <c r="F54" s="186"/>
      <c r="G54" s="187"/>
    </row>
    <row r="55" spans="1:14" ht="15.75" customHeight="1" x14ac:dyDescent="0.35">
      <c r="A55" s="143"/>
      <c r="B55" s="144"/>
      <c r="C55" s="81" t="s">
        <v>60</v>
      </c>
      <c r="D55" s="82">
        <f>+D28+D44+D52+D36</f>
        <v>85</v>
      </c>
      <c r="E55" s="78"/>
      <c r="F55" s="186"/>
      <c r="G55" s="187"/>
    </row>
    <row r="56" spans="1:14" ht="15.75" customHeight="1" thickBot="1" x14ac:dyDescent="0.4">
      <c r="A56" s="145"/>
      <c r="B56" s="146"/>
      <c r="C56" s="48" t="s">
        <v>61</v>
      </c>
      <c r="D56" s="26">
        <f>D54/D55</f>
        <v>0.74117647058823533</v>
      </c>
      <c r="E56" s="83"/>
      <c r="F56" s="188"/>
      <c r="G56" s="189"/>
    </row>
    <row r="57" spans="1:14" ht="15.75" customHeight="1" x14ac:dyDescent="0.35">
      <c r="E57" s="6"/>
      <c r="G57" s="3"/>
    </row>
    <row r="58" spans="1:14" ht="15.75" customHeight="1" x14ac:dyDescent="0.35">
      <c r="E58" s="6"/>
      <c r="G58" s="3"/>
    </row>
    <row r="59" spans="1:14" ht="15" customHeight="1" x14ac:dyDescent="0.35">
      <c r="E59" s="6"/>
      <c r="G59" s="3"/>
    </row>
    <row r="60" spans="1:14" ht="15" customHeight="1" x14ac:dyDescent="0.35">
      <c r="E60" s="6"/>
      <c r="G60" s="3"/>
    </row>
    <row r="61" spans="1:14" ht="15" customHeight="1" x14ac:dyDescent="0.35">
      <c r="E61" s="6"/>
      <c r="G61" s="3"/>
    </row>
    <row r="62" spans="1:14" s="5" customFormat="1" ht="15" customHeight="1" x14ac:dyDescent="0.35">
      <c r="A62" s="3"/>
      <c r="B62" s="3"/>
      <c r="C62" s="3"/>
      <c r="D62" s="6"/>
      <c r="E62" s="6"/>
      <c r="F62" s="3"/>
      <c r="G62" s="3"/>
      <c r="M62" s="40"/>
      <c r="N62" s="40"/>
    </row>
    <row r="63" spans="1:14" ht="15" customHeight="1" x14ac:dyDescent="0.35">
      <c r="E63" s="6"/>
      <c r="G63" s="3"/>
    </row>
    <row r="64" spans="1:14" s="2" customFormat="1" ht="15.5" x14ac:dyDescent="0.35">
      <c r="A64" s="3"/>
      <c r="B64" s="3"/>
      <c r="C64" s="3"/>
      <c r="D64" s="6"/>
      <c r="E64" s="6"/>
      <c r="F64" s="3"/>
      <c r="G64" s="3"/>
      <c r="I64" s="50"/>
      <c r="J64" s="50"/>
      <c r="K64" s="50"/>
      <c r="L64" s="50"/>
      <c r="M64" s="39"/>
      <c r="N64" s="39"/>
    </row>
    <row r="66" spans="7:7" x14ac:dyDescent="0.35">
      <c r="G66" s="7"/>
    </row>
    <row r="67" spans="7:7" x14ac:dyDescent="0.35">
      <c r="G67" s="7"/>
    </row>
    <row r="68" spans="7:7" x14ac:dyDescent="0.35">
      <c r="G68" s="7"/>
    </row>
    <row r="69" spans="7:7" x14ac:dyDescent="0.35">
      <c r="G69" s="7"/>
    </row>
  </sheetData>
  <mergeCells count="25">
    <mergeCell ref="A7:G20"/>
    <mergeCell ref="F21:G21"/>
    <mergeCell ref="B22:B29"/>
    <mergeCell ref="A27:A29"/>
    <mergeCell ref="B30:B37"/>
    <mergeCell ref="A35:A37"/>
    <mergeCell ref="F27:G56"/>
    <mergeCell ref="A1:G1"/>
    <mergeCell ref="A2:B2"/>
    <mergeCell ref="D2:G6"/>
    <mergeCell ref="A3:B3"/>
    <mergeCell ref="A4:B4"/>
    <mergeCell ref="A5:B5"/>
    <mergeCell ref="A6:B6"/>
    <mergeCell ref="A51:A53"/>
    <mergeCell ref="A54:B56"/>
    <mergeCell ref="B38:B45"/>
    <mergeCell ref="A30:A31"/>
    <mergeCell ref="D30:D31"/>
    <mergeCell ref="C40:C42"/>
    <mergeCell ref="D40:D42"/>
    <mergeCell ref="A40:A42"/>
    <mergeCell ref="A43:A45"/>
    <mergeCell ref="C30:C31"/>
    <mergeCell ref="B46:B53"/>
  </mergeCells>
  <conditionalFormatting sqref="D22:D26 D30 D32:D34">
    <cfRule type="cellIs" dxfId="161" priority="25" operator="equal">
      <formula>1</formula>
    </cfRule>
    <cfRule type="cellIs" dxfId="160" priority="26" operator="equal">
      <formula>2</formula>
    </cfRule>
    <cfRule type="cellIs" dxfId="159" priority="27" operator="equal">
      <formula>3</formula>
    </cfRule>
    <cfRule type="cellIs" dxfId="158" priority="28" operator="equal">
      <formula>4</formula>
    </cfRule>
    <cfRule type="cellIs" dxfId="157" priority="29" operator="equal">
      <formula>5</formula>
    </cfRule>
    <cfRule type="containsBlanks" dxfId="156" priority="30">
      <formula>LEN(TRIM(D22))=0</formula>
    </cfRule>
  </conditionalFormatting>
  <conditionalFormatting sqref="D38:D40">
    <cfRule type="cellIs" dxfId="155" priority="13" operator="equal">
      <formula>1</formula>
    </cfRule>
    <cfRule type="cellIs" dxfId="154" priority="14" operator="equal">
      <formula>2</formula>
    </cfRule>
    <cfRule type="cellIs" dxfId="153" priority="15" operator="equal">
      <formula>3</formula>
    </cfRule>
    <cfRule type="cellIs" dxfId="152" priority="16" operator="equal">
      <formula>4</formula>
    </cfRule>
    <cfRule type="cellIs" dxfId="151" priority="17" operator="equal">
      <formula>5</formula>
    </cfRule>
    <cfRule type="containsBlanks" dxfId="150" priority="18">
      <formula>LEN(TRIM(D38))=0</formula>
    </cfRule>
  </conditionalFormatting>
  <conditionalFormatting sqref="D46:D50">
    <cfRule type="cellIs" dxfId="149" priority="7" operator="equal">
      <formula>1</formula>
    </cfRule>
    <cfRule type="cellIs" dxfId="148" priority="8" operator="equal">
      <formula>2</formula>
    </cfRule>
    <cfRule type="cellIs" dxfId="147" priority="9" operator="equal">
      <formula>3</formula>
    </cfRule>
    <cfRule type="cellIs" dxfId="146" priority="10" operator="equal">
      <formula>4</formula>
    </cfRule>
    <cfRule type="cellIs" dxfId="145" priority="11" operator="equal">
      <formula>5</formula>
    </cfRule>
    <cfRule type="containsBlanks" dxfId="144" priority="12">
      <formula>LEN(TRIM(D46))=0</formula>
    </cfRule>
  </conditionalFormatting>
  <dataValidations count="1">
    <dataValidation type="list" allowBlank="1" showInputMessage="1" showErrorMessage="1" sqref="D22:D26 D46:D50 D38:D40 D30 D32:D34" xr:uid="{00000000-0002-0000-0100-000000000000}">
      <formula1>$G$22:$G$26</formula1>
    </dataValidation>
  </dataValidations>
  <printOptions horizontalCentered="1"/>
  <pageMargins left="0" right="0" top="7.874015748031496E-2" bottom="0" header="0" footer="0"/>
  <pageSetup paperSize="9"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9"/>
  <sheetViews>
    <sheetView topLeftCell="A45" zoomScale="80" zoomScaleNormal="80" workbookViewId="0">
      <selection sqref="A1:G56"/>
    </sheetView>
  </sheetViews>
  <sheetFormatPr defaultColWidth="8.81640625" defaultRowHeight="14.5" x14ac:dyDescent="0.35"/>
  <cols>
    <col min="1" max="1" width="9.7265625" style="3" customWidth="1"/>
    <col min="2" max="2" width="20" style="3" customWidth="1"/>
    <col min="3" max="3" width="74.81640625" style="3" customWidth="1"/>
    <col min="4" max="4" width="9.7265625" style="6" customWidth="1"/>
    <col min="5" max="5" width="2.26953125" style="3" customWidth="1"/>
    <col min="6" max="6" width="20.81640625" style="3" customWidth="1"/>
    <col min="7" max="7" width="5.7265625" style="6" customWidth="1"/>
    <col min="8" max="8" width="8.81640625" style="3"/>
    <col min="9" max="9" width="21.26953125" style="5" customWidth="1"/>
    <col min="10" max="12" width="8.81640625" style="5"/>
    <col min="13" max="14" width="8.81640625" style="40"/>
    <col min="15" max="16384" width="8.81640625" style="3"/>
  </cols>
  <sheetData>
    <row r="1" spans="1:14" s="1" customFormat="1" ht="24" thickBot="1" x14ac:dyDescent="0.4">
      <c r="A1" s="123" t="s">
        <v>0</v>
      </c>
      <c r="B1" s="124"/>
      <c r="C1" s="124"/>
      <c r="D1" s="124"/>
      <c r="E1" s="124"/>
      <c r="F1" s="124"/>
      <c r="G1" s="161"/>
      <c r="I1" s="49"/>
      <c r="J1" s="49"/>
      <c r="K1" s="49"/>
      <c r="L1" s="49"/>
      <c r="M1" s="38"/>
      <c r="N1" s="38"/>
    </row>
    <row r="2" spans="1:14" s="2" customFormat="1" ht="15.5" x14ac:dyDescent="0.35">
      <c r="A2" s="162" t="s">
        <v>1</v>
      </c>
      <c r="B2" s="163"/>
      <c r="C2" s="8"/>
      <c r="D2" s="164"/>
      <c r="E2" s="165"/>
      <c r="F2" s="165"/>
      <c r="G2" s="166"/>
      <c r="I2" s="50"/>
      <c r="J2" s="50"/>
      <c r="K2" s="50"/>
      <c r="L2" s="50"/>
      <c r="M2" s="39"/>
      <c r="N2" s="39"/>
    </row>
    <row r="3" spans="1:14" s="2" customFormat="1" ht="15.5" x14ac:dyDescent="0.35">
      <c r="A3" s="190" t="s">
        <v>14</v>
      </c>
      <c r="B3" s="191"/>
      <c r="C3" s="9"/>
      <c r="D3" s="167"/>
      <c r="E3" s="168"/>
      <c r="F3" s="168"/>
      <c r="G3" s="169"/>
      <c r="I3" s="50"/>
      <c r="J3" s="50"/>
      <c r="K3" s="50"/>
      <c r="L3" s="50"/>
      <c r="M3" s="39"/>
      <c r="N3" s="39"/>
    </row>
    <row r="4" spans="1:14" s="2" customFormat="1" ht="15.5" x14ac:dyDescent="0.35">
      <c r="A4" s="190" t="s">
        <v>2</v>
      </c>
      <c r="B4" s="191"/>
      <c r="C4" s="9"/>
      <c r="D4" s="167"/>
      <c r="E4" s="168"/>
      <c r="F4" s="168"/>
      <c r="G4" s="169"/>
      <c r="I4" s="50"/>
      <c r="J4" s="50"/>
      <c r="K4" s="50"/>
      <c r="L4" s="50"/>
      <c r="M4" s="39"/>
      <c r="N4" s="39"/>
    </row>
    <row r="5" spans="1:14" s="2" customFormat="1" ht="15.5" x14ac:dyDescent="0.35">
      <c r="A5" s="190" t="s">
        <v>3</v>
      </c>
      <c r="B5" s="191"/>
      <c r="C5" s="9"/>
      <c r="D5" s="167"/>
      <c r="E5" s="168"/>
      <c r="F5" s="168"/>
      <c r="G5" s="169"/>
      <c r="I5" s="50"/>
      <c r="J5" s="50"/>
      <c r="K5" s="50"/>
      <c r="L5" s="50"/>
      <c r="M5" s="39"/>
      <c r="N5" s="39"/>
    </row>
    <row r="6" spans="1:14" s="2" customFormat="1" ht="16" thickBot="1" x14ac:dyDescent="0.4">
      <c r="A6" s="192" t="s">
        <v>15</v>
      </c>
      <c r="B6" s="193"/>
      <c r="C6" s="10"/>
      <c r="D6" s="170"/>
      <c r="E6" s="171"/>
      <c r="F6" s="171"/>
      <c r="G6" s="172"/>
      <c r="I6" s="50"/>
      <c r="J6" s="50"/>
      <c r="K6" s="50"/>
      <c r="L6" s="50"/>
      <c r="M6" s="39"/>
      <c r="N6" s="39"/>
    </row>
    <row r="7" spans="1:14" x14ac:dyDescent="0.35">
      <c r="A7" s="173"/>
      <c r="B7" s="174"/>
      <c r="C7" s="174"/>
      <c r="D7" s="174"/>
      <c r="E7" s="174"/>
      <c r="F7" s="174"/>
      <c r="G7" s="175"/>
    </row>
    <row r="8" spans="1:14" x14ac:dyDescent="0.35">
      <c r="A8" s="176"/>
      <c r="B8" s="177"/>
      <c r="C8" s="177"/>
      <c r="D8" s="177"/>
      <c r="E8" s="177"/>
      <c r="F8" s="177"/>
      <c r="G8" s="178"/>
    </row>
    <row r="9" spans="1:14" x14ac:dyDescent="0.35">
      <c r="A9" s="176"/>
      <c r="B9" s="177"/>
      <c r="C9" s="177"/>
      <c r="D9" s="177"/>
      <c r="E9" s="177"/>
      <c r="F9" s="177"/>
      <c r="G9" s="178"/>
    </row>
    <row r="10" spans="1:14" x14ac:dyDescent="0.35">
      <c r="A10" s="176"/>
      <c r="B10" s="177"/>
      <c r="C10" s="177"/>
      <c r="D10" s="177"/>
      <c r="E10" s="177"/>
      <c r="F10" s="177"/>
      <c r="G10" s="178"/>
    </row>
    <row r="11" spans="1:14" x14ac:dyDescent="0.35">
      <c r="A11" s="176"/>
      <c r="B11" s="177"/>
      <c r="C11" s="177"/>
      <c r="D11" s="177"/>
      <c r="E11" s="177"/>
      <c r="F11" s="177"/>
      <c r="G11" s="178"/>
    </row>
    <row r="12" spans="1:14" x14ac:dyDescent="0.35">
      <c r="A12" s="176"/>
      <c r="B12" s="177"/>
      <c r="C12" s="177"/>
      <c r="D12" s="177"/>
      <c r="E12" s="177"/>
      <c r="F12" s="177"/>
      <c r="G12" s="178"/>
    </row>
    <row r="13" spans="1:14" x14ac:dyDescent="0.35">
      <c r="A13" s="176"/>
      <c r="B13" s="177"/>
      <c r="C13" s="177"/>
      <c r="D13" s="177"/>
      <c r="E13" s="177"/>
      <c r="F13" s="177"/>
      <c r="G13" s="178"/>
    </row>
    <row r="14" spans="1:14" x14ac:dyDescent="0.35">
      <c r="A14" s="176"/>
      <c r="B14" s="177"/>
      <c r="C14" s="177"/>
      <c r="D14" s="177"/>
      <c r="E14" s="177"/>
      <c r="F14" s="177"/>
      <c r="G14" s="178"/>
    </row>
    <row r="15" spans="1:14" x14ac:dyDescent="0.35">
      <c r="A15" s="176"/>
      <c r="B15" s="177"/>
      <c r="C15" s="177"/>
      <c r="D15" s="177"/>
      <c r="E15" s="177"/>
      <c r="F15" s="177"/>
      <c r="G15" s="178"/>
      <c r="M15" s="35" t="s">
        <v>16</v>
      </c>
      <c r="N15" s="35"/>
    </row>
    <row r="16" spans="1:14" x14ac:dyDescent="0.35">
      <c r="A16" s="176"/>
      <c r="B16" s="177"/>
      <c r="C16" s="177"/>
      <c r="D16" s="177"/>
      <c r="E16" s="177"/>
      <c r="F16" s="177"/>
      <c r="G16" s="178"/>
      <c r="M16" s="35" t="s">
        <v>17</v>
      </c>
      <c r="N16" s="36">
        <f>D56</f>
        <v>0.84705882352941175</v>
      </c>
    </row>
    <row r="17" spans="1:14" x14ac:dyDescent="0.35">
      <c r="A17" s="176"/>
      <c r="B17" s="177"/>
      <c r="C17" s="177"/>
      <c r="D17" s="177"/>
      <c r="E17" s="177"/>
      <c r="F17" s="177"/>
      <c r="G17" s="178"/>
      <c r="M17" s="35" t="s">
        <v>18</v>
      </c>
      <c r="N17" s="37">
        <v>0.02</v>
      </c>
    </row>
    <row r="18" spans="1:14" x14ac:dyDescent="0.35">
      <c r="A18" s="176"/>
      <c r="B18" s="177"/>
      <c r="C18" s="177"/>
      <c r="D18" s="177"/>
      <c r="E18" s="177"/>
      <c r="F18" s="177"/>
      <c r="G18" s="178"/>
      <c r="M18" s="35" t="s">
        <v>19</v>
      </c>
      <c r="N18" s="36">
        <f>200%-(N16+N17)</f>
        <v>1.1329411764705881</v>
      </c>
    </row>
    <row r="19" spans="1:14" x14ac:dyDescent="0.35">
      <c r="A19" s="176"/>
      <c r="B19" s="177"/>
      <c r="C19" s="177"/>
      <c r="D19" s="177"/>
      <c r="E19" s="177"/>
      <c r="F19" s="177"/>
      <c r="G19" s="178"/>
    </row>
    <row r="20" spans="1:14" ht="15" thickBot="1" x14ac:dyDescent="0.4">
      <c r="A20" s="179"/>
      <c r="B20" s="180"/>
      <c r="C20" s="180"/>
      <c r="D20" s="180"/>
      <c r="E20" s="180"/>
      <c r="F20" s="180"/>
      <c r="G20" s="181"/>
      <c r="M20" s="35" t="s">
        <v>20</v>
      </c>
      <c r="N20" s="35"/>
    </row>
    <row r="21" spans="1:14" s="4" customFormat="1" ht="16" thickBot="1" x14ac:dyDescent="0.4">
      <c r="A21" s="11" t="s">
        <v>21</v>
      </c>
      <c r="B21" s="12" t="s">
        <v>7</v>
      </c>
      <c r="C21" s="17" t="s">
        <v>22</v>
      </c>
      <c r="D21" s="20" t="s">
        <v>23</v>
      </c>
      <c r="E21" s="66"/>
      <c r="F21" s="182" t="s">
        <v>24</v>
      </c>
      <c r="G21" s="183"/>
      <c r="I21" s="51"/>
      <c r="J21" s="51"/>
      <c r="K21" s="51"/>
      <c r="L21" s="51"/>
      <c r="M21" s="35" t="s">
        <v>25</v>
      </c>
      <c r="N21" s="35">
        <v>20</v>
      </c>
    </row>
    <row r="22" spans="1:14" ht="30" customHeight="1" x14ac:dyDescent="0.35">
      <c r="A22" s="27">
        <v>1</v>
      </c>
      <c r="B22" s="147" t="s">
        <v>26</v>
      </c>
      <c r="C22" s="29" t="s">
        <v>27</v>
      </c>
      <c r="D22" s="55">
        <v>5</v>
      </c>
      <c r="E22" s="67"/>
      <c r="F22" s="68" t="s">
        <v>28</v>
      </c>
      <c r="G22" s="69">
        <v>5</v>
      </c>
      <c r="M22" s="35" t="s">
        <v>29</v>
      </c>
      <c r="N22" s="35">
        <v>20</v>
      </c>
    </row>
    <row r="23" spans="1:14" ht="30" customHeight="1" x14ac:dyDescent="0.35">
      <c r="A23" s="28">
        <f>A22+1</f>
        <v>2</v>
      </c>
      <c r="B23" s="148"/>
      <c r="C23" s="30" t="s">
        <v>30</v>
      </c>
      <c r="D23" s="21">
        <v>4</v>
      </c>
      <c r="E23" s="67"/>
      <c r="F23" s="70" t="s">
        <v>31</v>
      </c>
      <c r="G23" s="71">
        <v>4</v>
      </c>
      <c r="M23" s="35" t="s">
        <v>32</v>
      </c>
      <c r="N23" s="35">
        <v>20</v>
      </c>
    </row>
    <row r="24" spans="1:14" ht="30" customHeight="1" x14ac:dyDescent="0.35">
      <c r="A24" s="28">
        <f>A23+1</f>
        <v>3</v>
      </c>
      <c r="B24" s="148"/>
      <c r="C24" s="30" t="s">
        <v>33</v>
      </c>
      <c r="D24" s="21">
        <v>5</v>
      </c>
      <c r="E24" s="67"/>
      <c r="F24" s="72" t="s">
        <v>34</v>
      </c>
      <c r="G24" s="73">
        <v>3</v>
      </c>
      <c r="M24" s="35" t="s">
        <v>35</v>
      </c>
      <c r="N24" s="35">
        <v>20</v>
      </c>
    </row>
    <row r="25" spans="1:14" ht="30" customHeight="1" x14ac:dyDescent="0.35">
      <c r="A25" s="28">
        <f>A24+1</f>
        <v>4</v>
      </c>
      <c r="B25" s="148"/>
      <c r="C25" s="52" t="s">
        <v>36</v>
      </c>
      <c r="D25" s="21">
        <v>4</v>
      </c>
      <c r="E25" s="67"/>
      <c r="F25" s="74" t="s">
        <v>37</v>
      </c>
      <c r="G25" s="75">
        <v>2</v>
      </c>
      <c r="M25" s="35" t="s">
        <v>38</v>
      </c>
      <c r="N25" s="35">
        <v>20</v>
      </c>
    </row>
    <row r="26" spans="1:14" ht="30" customHeight="1" thickBot="1" x14ac:dyDescent="0.4">
      <c r="A26" s="28">
        <f>A25+1</f>
        <v>5</v>
      </c>
      <c r="B26" s="148"/>
      <c r="C26" s="30" t="s">
        <v>39</v>
      </c>
      <c r="D26" s="56">
        <v>4</v>
      </c>
      <c r="E26" s="67"/>
      <c r="F26" s="76" t="s">
        <v>40</v>
      </c>
      <c r="G26" s="77">
        <v>1</v>
      </c>
      <c r="M26" s="35" t="s">
        <v>19</v>
      </c>
      <c r="N26" s="35">
        <v>100</v>
      </c>
    </row>
    <row r="27" spans="1:14" ht="25" customHeight="1" x14ac:dyDescent="0.35">
      <c r="A27" s="138"/>
      <c r="B27" s="148"/>
      <c r="C27" s="18" t="s">
        <v>41</v>
      </c>
      <c r="D27" s="22">
        <f>SUM(D22:D26)</f>
        <v>22</v>
      </c>
      <c r="E27" s="67"/>
      <c r="F27" s="184"/>
      <c r="G27" s="185"/>
    </row>
    <row r="28" spans="1:14" ht="25" customHeight="1" x14ac:dyDescent="0.35">
      <c r="A28" s="139"/>
      <c r="B28" s="148"/>
      <c r="C28" s="18" t="s">
        <v>42</v>
      </c>
      <c r="D28" s="54">
        <f>COUNT(A22:A26)*$G$22</f>
        <v>25</v>
      </c>
      <c r="E28" s="67"/>
      <c r="F28" s="186"/>
      <c r="G28" s="187"/>
    </row>
    <row r="29" spans="1:14" ht="25" customHeight="1" thickBot="1" x14ac:dyDescent="0.4">
      <c r="A29" s="140"/>
      <c r="B29" s="149"/>
      <c r="C29" s="19" t="s">
        <v>26</v>
      </c>
      <c r="D29" s="23">
        <f>D27/D28</f>
        <v>0.88</v>
      </c>
      <c r="E29" s="67"/>
      <c r="F29" s="186"/>
      <c r="G29" s="187"/>
    </row>
    <row r="30" spans="1:14" ht="18.75" customHeight="1" x14ac:dyDescent="0.35">
      <c r="A30" s="150">
        <f>A26+1</f>
        <v>6</v>
      </c>
      <c r="B30" s="147" t="s">
        <v>43</v>
      </c>
      <c r="C30" s="160" t="s">
        <v>44</v>
      </c>
      <c r="D30" s="152">
        <v>4</v>
      </c>
      <c r="E30" s="78"/>
      <c r="F30" s="186"/>
      <c r="G30" s="187"/>
    </row>
    <row r="31" spans="1:14" ht="18.75" customHeight="1" x14ac:dyDescent="0.35">
      <c r="A31" s="151"/>
      <c r="B31" s="148"/>
      <c r="C31" s="156"/>
      <c r="D31" s="153"/>
      <c r="E31" s="78"/>
      <c r="F31" s="186"/>
      <c r="G31" s="187"/>
    </row>
    <row r="32" spans="1:14" ht="36.75" customHeight="1" x14ac:dyDescent="0.35">
      <c r="A32" s="28">
        <f>A30+1</f>
        <v>7</v>
      </c>
      <c r="B32" s="148"/>
      <c r="C32" s="29" t="s">
        <v>45</v>
      </c>
      <c r="D32" s="21">
        <v>4</v>
      </c>
      <c r="E32" s="78"/>
      <c r="F32" s="186"/>
      <c r="G32" s="187"/>
    </row>
    <row r="33" spans="1:7" ht="36.75" customHeight="1" x14ac:dyDescent="0.35">
      <c r="A33" s="28">
        <f t="shared" ref="A33:A34" si="0">A32+1</f>
        <v>8</v>
      </c>
      <c r="B33" s="148"/>
      <c r="C33" s="29" t="s">
        <v>46</v>
      </c>
      <c r="D33" s="21">
        <v>4</v>
      </c>
      <c r="E33" s="78"/>
      <c r="F33" s="186"/>
      <c r="G33" s="187"/>
    </row>
    <row r="34" spans="1:7" ht="35.25" customHeight="1" x14ac:dyDescent="0.35">
      <c r="A34" s="28">
        <f t="shared" si="0"/>
        <v>9</v>
      </c>
      <c r="B34" s="148"/>
      <c r="C34" s="29" t="s">
        <v>47</v>
      </c>
      <c r="D34" s="21">
        <v>4</v>
      </c>
      <c r="E34" s="78"/>
      <c r="F34" s="186"/>
      <c r="G34" s="187"/>
    </row>
    <row r="35" spans="1:7" ht="25" customHeight="1" x14ac:dyDescent="0.35">
      <c r="A35" s="138"/>
      <c r="B35" s="148"/>
      <c r="C35" s="18" t="s">
        <v>41</v>
      </c>
      <c r="D35" s="22">
        <f>SUM(D30:D34)</f>
        <v>16</v>
      </c>
      <c r="E35" s="78"/>
      <c r="F35" s="186"/>
      <c r="G35" s="187"/>
    </row>
    <row r="36" spans="1:7" ht="25" customHeight="1" x14ac:dyDescent="0.35">
      <c r="A36" s="139"/>
      <c r="B36" s="148"/>
      <c r="C36" s="18" t="s">
        <v>42</v>
      </c>
      <c r="D36" s="22">
        <f>COUNT(A30:A34)*$G$22</f>
        <v>20</v>
      </c>
      <c r="E36" s="78"/>
      <c r="F36" s="186"/>
      <c r="G36" s="187"/>
    </row>
    <row r="37" spans="1:7" ht="25" customHeight="1" thickBot="1" x14ac:dyDescent="0.4">
      <c r="A37" s="140"/>
      <c r="B37" s="149"/>
      <c r="C37" s="19" t="s">
        <v>43</v>
      </c>
      <c r="D37" s="23">
        <f>D35/D36</f>
        <v>0.8</v>
      </c>
      <c r="E37" s="78"/>
      <c r="F37" s="186"/>
      <c r="G37" s="187"/>
    </row>
    <row r="38" spans="1:7" ht="24" customHeight="1" x14ac:dyDescent="0.35">
      <c r="A38" s="27">
        <f>A34+1</f>
        <v>10</v>
      </c>
      <c r="B38" s="147" t="s">
        <v>48</v>
      </c>
      <c r="C38" s="29" t="s">
        <v>49</v>
      </c>
      <c r="D38" s="21">
        <v>3</v>
      </c>
      <c r="E38" s="78"/>
      <c r="F38" s="186"/>
      <c r="G38" s="187"/>
    </row>
    <row r="39" spans="1:7" ht="24" customHeight="1" x14ac:dyDescent="0.35">
      <c r="A39" s="28">
        <f t="shared" ref="A39:A40" si="1">A38+1</f>
        <v>11</v>
      </c>
      <c r="B39" s="148"/>
      <c r="C39" s="52" t="s">
        <v>50</v>
      </c>
      <c r="D39" s="21">
        <v>3</v>
      </c>
      <c r="E39" s="78"/>
      <c r="F39" s="186"/>
      <c r="G39" s="187"/>
    </row>
    <row r="40" spans="1:7" ht="13.5" customHeight="1" x14ac:dyDescent="0.35">
      <c r="A40" s="138">
        <f t="shared" si="1"/>
        <v>12</v>
      </c>
      <c r="B40" s="148"/>
      <c r="C40" s="154" t="s">
        <v>51</v>
      </c>
      <c r="D40" s="157">
        <v>3</v>
      </c>
      <c r="E40" s="78"/>
      <c r="F40" s="186"/>
      <c r="G40" s="187"/>
    </row>
    <row r="41" spans="1:7" ht="13.5" customHeight="1" x14ac:dyDescent="0.35">
      <c r="A41" s="139"/>
      <c r="B41" s="148"/>
      <c r="C41" s="155"/>
      <c r="D41" s="158"/>
      <c r="E41" s="78"/>
      <c r="F41" s="186"/>
      <c r="G41" s="187"/>
    </row>
    <row r="42" spans="1:7" ht="13.5" customHeight="1" x14ac:dyDescent="0.35">
      <c r="A42" s="151"/>
      <c r="B42" s="148"/>
      <c r="C42" s="156"/>
      <c r="D42" s="153"/>
      <c r="E42" s="78"/>
      <c r="F42" s="186"/>
      <c r="G42" s="187"/>
    </row>
    <row r="43" spans="1:7" ht="25" customHeight="1" x14ac:dyDescent="0.35">
      <c r="A43" s="138"/>
      <c r="B43" s="148"/>
      <c r="C43" s="18" t="s">
        <v>41</v>
      </c>
      <c r="D43" s="22">
        <f>SUM(D38:D42)</f>
        <v>9</v>
      </c>
      <c r="E43" s="78"/>
      <c r="F43" s="186"/>
      <c r="G43" s="187"/>
    </row>
    <row r="44" spans="1:7" ht="25" customHeight="1" x14ac:dyDescent="0.35">
      <c r="A44" s="139"/>
      <c r="B44" s="148"/>
      <c r="C44" s="18" t="s">
        <v>42</v>
      </c>
      <c r="D44" s="22">
        <f>COUNT(A38:A42)*$G$22</f>
        <v>15</v>
      </c>
      <c r="E44" s="78"/>
      <c r="F44" s="186"/>
      <c r="G44" s="187"/>
    </row>
    <row r="45" spans="1:7" ht="25" customHeight="1" thickBot="1" x14ac:dyDescent="0.4">
      <c r="A45" s="140"/>
      <c r="B45" s="149"/>
      <c r="C45" s="19" t="s">
        <v>52</v>
      </c>
      <c r="D45" s="23">
        <f>D43/D44</f>
        <v>0.6</v>
      </c>
      <c r="E45" s="78"/>
      <c r="F45" s="186"/>
      <c r="G45" s="187"/>
    </row>
    <row r="46" spans="1:7" ht="23.25" customHeight="1" x14ac:dyDescent="0.35">
      <c r="A46" s="27">
        <f>A40+1</f>
        <v>13</v>
      </c>
      <c r="B46" s="147" t="s">
        <v>53</v>
      </c>
      <c r="C46" s="53" t="s">
        <v>54</v>
      </c>
      <c r="D46" s="21">
        <v>5</v>
      </c>
      <c r="E46" s="78"/>
      <c r="F46" s="186"/>
      <c r="G46" s="187"/>
    </row>
    <row r="47" spans="1:7" ht="23.25" customHeight="1" x14ac:dyDescent="0.35">
      <c r="A47" s="28">
        <f t="shared" ref="A47:A50" si="2">A46+1</f>
        <v>14</v>
      </c>
      <c r="B47" s="148"/>
      <c r="C47" s="30" t="s">
        <v>55</v>
      </c>
      <c r="D47" s="21">
        <v>5</v>
      </c>
      <c r="E47" s="78"/>
      <c r="F47" s="186"/>
      <c r="G47" s="187"/>
    </row>
    <row r="48" spans="1:7" ht="23.25" customHeight="1" x14ac:dyDescent="0.35">
      <c r="A48" s="28">
        <f t="shared" si="2"/>
        <v>15</v>
      </c>
      <c r="B48" s="148"/>
      <c r="C48" s="30" t="s">
        <v>56</v>
      </c>
      <c r="D48" s="21">
        <v>5</v>
      </c>
      <c r="E48" s="78"/>
      <c r="F48" s="186"/>
      <c r="G48" s="187"/>
    </row>
    <row r="49" spans="1:14" ht="23.25" customHeight="1" x14ac:dyDescent="0.35">
      <c r="A49" s="28">
        <f t="shared" si="2"/>
        <v>16</v>
      </c>
      <c r="B49" s="148"/>
      <c r="C49" s="30" t="s">
        <v>57</v>
      </c>
      <c r="D49" s="21">
        <v>5</v>
      </c>
      <c r="E49" s="78"/>
      <c r="F49" s="186"/>
      <c r="G49" s="187"/>
    </row>
    <row r="50" spans="1:14" ht="23.25" customHeight="1" x14ac:dyDescent="0.35">
      <c r="A50" s="28">
        <f t="shared" si="2"/>
        <v>17</v>
      </c>
      <c r="B50" s="148"/>
      <c r="C50" s="30" t="s">
        <v>58</v>
      </c>
      <c r="D50" s="21">
        <v>5</v>
      </c>
      <c r="E50" s="78"/>
      <c r="F50" s="186"/>
      <c r="G50" s="187"/>
    </row>
    <row r="51" spans="1:14" ht="25" customHeight="1" x14ac:dyDescent="0.35">
      <c r="A51" s="138"/>
      <c r="B51" s="148"/>
      <c r="C51" s="18" t="s">
        <v>41</v>
      </c>
      <c r="D51" s="22">
        <f>SUM(D46:D50)</f>
        <v>25</v>
      </c>
      <c r="E51" s="78"/>
      <c r="F51" s="186"/>
      <c r="G51" s="187"/>
    </row>
    <row r="52" spans="1:14" ht="25" customHeight="1" x14ac:dyDescent="0.35">
      <c r="A52" s="139"/>
      <c r="B52" s="148"/>
      <c r="C52" s="18" t="s">
        <v>42</v>
      </c>
      <c r="D52" s="22">
        <f>COUNT(A46:A50)*$G$22</f>
        <v>25</v>
      </c>
      <c r="E52" s="78"/>
      <c r="F52" s="186"/>
      <c r="G52" s="187"/>
    </row>
    <row r="53" spans="1:14" ht="25" customHeight="1" thickBot="1" x14ac:dyDescent="0.4">
      <c r="A53" s="140"/>
      <c r="B53" s="149"/>
      <c r="C53" s="19" t="s">
        <v>12</v>
      </c>
      <c r="D53" s="23">
        <f>D51/D52</f>
        <v>1</v>
      </c>
      <c r="E53" s="78"/>
      <c r="F53" s="186"/>
      <c r="G53" s="187"/>
    </row>
    <row r="54" spans="1:14" ht="15.75" customHeight="1" x14ac:dyDescent="0.35">
      <c r="A54" s="141"/>
      <c r="B54" s="142"/>
      <c r="C54" s="79" t="s">
        <v>59</v>
      </c>
      <c r="D54" s="80">
        <f>D27+D35+D43+D51</f>
        <v>72</v>
      </c>
      <c r="E54" s="78"/>
      <c r="F54" s="186"/>
      <c r="G54" s="187"/>
    </row>
    <row r="55" spans="1:14" ht="15.75" customHeight="1" x14ac:dyDescent="0.35">
      <c r="A55" s="143"/>
      <c r="B55" s="144"/>
      <c r="C55" s="81" t="s">
        <v>60</v>
      </c>
      <c r="D55" s="82">
        <f>+D28+D44+D52+D36</f>
        <v>85</v>
      </c>
      <c r="E55" s="78"/>
      <c r="F55" s="186"/>
      <c r="G55" s="187"/>
    </row>
    <row r="56" spans="1:14" ht="15.75" customHeight="1" thickBot="1" x14ac:dyDescent="0.4">
      <c r="A56" s="145"/>
      <c r="B56" s="146"/>
      <c r="C56" s="48" t="s">
        <v>61</v>
      </c>
      <c r="D56" s="26">
        <f>D54/D55</f>
        <v>0.84705882352941175</v>
      </c>
      <c r="E56" s="83"/>
      <c r="F56" s="188"/>
      <c r="G56" s="189"/>
    </row>
    <row r="57" spans="1:14" ht="15.75" customHeight="1" x14ac:dyDescent="0.35">
      <c r="E57" s="6"/>
      <c r="G57" s="3"/>
    </row>
    <row r="58" spans="1:14" ht="15.75" customHeight="1" x14ac:dyDescent="0.35">
      <c r="E58" s="6"/>
      <c r="G58" s="3"/>
    </row>
    <row r="59" spans="1:14" ht="15" customHeight="1" x14ac:dyDescent="0.35">
      <c r="E59" s="6"/>
      <c r="G59" s="3"/>
    </row>
    <row r="60" spans="1:14" ht="15" customHeight="1" x14ac:dyDescent="0.35">
      <c r="E60" s="6"/>
      <c r="G60" s="3"/>
    </row>
    <row r="61" spans="1:14" ht="15" customHeight="1" x14ac:dyDescent="0.35">
      <c r="E61" s="6"/>
      <c r="G61" s="3"/>
    </row>
    <row r="62" spans="1:14" s="5" customFormat="1" ht="15" customHeight="1" x14ac:dyDescent="0.35">
      <c r="A62" s="3"/>
      <c r="B62" s="3"/>
      <c r="C62" s="3"/>
      <c r="D62" s="6"/>
      <c r="E62" s="6"/>
      <c r="F62" s="3"/>
      <c r="G62" s="3"/>
      <c r="M62" s="40"/>
      <c r="N62" s="40"/>
    </row>
    <row r="63" spans="1:14" ht="15" customHeight="1" x14ac:dyDescent="0.35">
      <c r="E63" s="6"/>
      <c r="G63" s="3"/>
    </row>
    <row r="64" spans="1:14" s="2" customFormat="1" ht="15.5" x14ac:dyDescent="0.35">
      <c r="A64" s="3"/>
      <c r="B64" s="3"/>
      <c r="C64" s="3"/>
      <c r="D64" s="6"/>
      <c r="E64" s="6"/>
      <c r="F64" s="3"/>
      <c r="G64" s="3"/>
      <c r="I64" s="50"/>
      <c r="J64" s="50"/>
      <c r="K64" s="50"/>
      <c r="L64" s="50"/>
      <c r="M64" s="39"/>
      <c r="N64" s="39"/>
    </row>
    <row r="66" spans="7:7" x14ac:dyDescent="0.35">
      <c r="G66" s="7"/>
    </row>
    <row r="67" spans="7:7" x14ac:dyDescent="0.35">
      <c r="G67" s="7"/>
    </row>
    <row r="68" spans="7:7" x14ac:dyDescent="0.35">
      <c r="G68" s="7"/>
    </row>
    <row r="69" spans="7:7" x14ac:dyDescent="0.35">
      <c r="G69" s="7"/>
    </row>
  </sheetData>
  <mergeCells count="25">
    <mergeCell ref="B46:B53"/>
    <mergeCell ref="A51:A53"/>
    <mergeCell ref="A7:G20"/>
    <mergeCell ref="F21:G21"/>
    <mergeCell ref="B22:B29"/>
    <mergeCell ref="A27:A29"/>
    <mergeCell ref="F27:G56"/>
    <mergeCell ref="A30:A31"/>
    <mergeCell ref="B30:B37"/>
    <mergeCell ref="C30:C31"/>
    <mergeCell ref="D30:D31"/>
    <mergeCell ref="A35:A37"/>
    <mergeCell ref="A54:B56"/>
    <mergeCell ref="B38:B45"/>
    <mergeCell ref="A40:A42"/>
    <mergeCell ref="C40:C42"/>
    <mergeCell ref="D40:D42"/>
    <mergeCell ref="A43:A45"/>
    <mergeCell ref="A1:G1"/>
    <mergeCell ref="A2:B2"/>
    <mergeCell ref="D2:G6"/>
    <mergeCell ref="A3:B3"/>
    <mergeCell ref="A4:B4"/>
    <mergeCell ref="A5:B5"/>
    <mergeCell ref="A6:B6"/>
  </mergeCells>
  <conditionalFormatting sqref="D22:D26 D30 D32:D34">
    <cfRule type="cellIs" dxfId="143" priority="13" operator="equal">
      <formula>1</formula>
    </cfRule>
    <cfRule type="cellIs" dxfId="142" priority="14" operator="equal">
      <formula>2</formula>
    </cfRule>
    <cfRule type="cellIs" dxfId="141" priority="15" operator="equal">
      <formula>3</formula>
    </cfRule>
    <cfRule type="cellIs" dxfId="140" priority="16" operator="equal">
      <formula>4</formula>
    </cfRule>
    <cfRule type="cellIs" dxfId="139" priority="17" operator="equal">
      <formula>5</formula>
    </cfRule>
    <cfRule type="containsBlanks" dxfId="138" priority="18">
      <formula>LEN(TRIM(D22))=0</formula>
    </cfRule>
  </conditionalFormatting>
  <conditionalFormatting sqref="D38:D40">
    <cfRule type="cellIs" dxfId="137" priority="7" operator="equal">
      <formula>1</formula>
    </cfRule>
    <cfRule type="cellIs" dxfId="136" priority="8" operator="equal">
      <formula>2</formula>
    </cfRule>
    <cfRule type="cellIs" dxfId="135" priority="9" operator="equal">
      <formula>3</formula>
    </cfRule>
    <cfRule type="cellIs" dxfId="134" priority="10" operator="equal">
      <formula>4</formula>
    </cfRule>
    <cfRule type="cellIs" dxfId="133" priority="11" operator="equal">
      <formula>5</formula>
    </cfRule>
    <cfRule type="containsBlanks" dxfId="132" priority="12">
      <formula>LEN(TRIM(D38))=0</formula>
    </cfRule>
  </conditionalFormatting>
  <conditionalFormatting sqref="D46:D50">
    <cfRule type="cellIs" dxfId="131" priority="1" operator="equal">
      <formula>1</formula>
    </cfRule>
    <cfRule type="cellIs" dxfId="130" priority="2" operator="equal">
      <formula>2</formula>
    </cfRule>
    <cfRule type="cellIs" dxfId="129" priority="3" operator="equal">
      <formula>3</formula>
    </cfRule>
    <cfRule type="cellIs" dxfId="128" priority="4" operator="equal">
      <formula>4</formula>
    </cfRule>
    <cfRule type="cellIs" dxfId="127" priority="5" operator="equal">
      <formula>5</formula>
    </cfRule>
    <cfRule type="containsBlanks" dxfId="126" priority="6">
      <formula>LEN(TRIM(D46))=0</formula>
    </cfRule>
  </conditionalFormatting>
  <dataValidations count="1">
    <dataValidation type="list" allowBlank="1" showInputMessage="1" showErrorMessage="1" sqref="D22:D26 D46:D50 D38:D40 D30 D32:D34" xr:uid="{00000000-0002-0000-0200-000000000000}">
      <formula1>$G$22:$G$26</formula1>
    </dataValidation>
  </dataValidations>
  <printOptions horizontalCentered="1"/>
  <pageMargins left="0" right="0" top="7.874015748031496E-2" bottom="0" header="0" footer="0"/>
  <pageSetup paperSize="9"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9"/>
  <sheetViews>
    <sheetView topLeftCell="A43" zoomScale="80" zoomScaleNormal="80" workbookViewId="0">
      <selection sqref="A1:G56"/>
    </sheetView>
  </sheetViews>
  <sheetFormatPr defaultColWidth="8.81640625" defaultRowHeight="14.5" x14ac:dyDescent="0.35"/>
  <cols>
    <col min="1" max="1" width="9.7265625" style="3" customWidth="1"/>
    <col min="2" max="2" width="20" style="3" customWidth="1"/>
    <col min="3" max="3" width="74.81640625" style="3" customWidth="1"/>
    <col min="4" max="4" width="9.7265625" style="6" customWidth="1"/>
    <col min="5" max="5" width="2.26953125" style="3" customWidth="1"/>
    <col min="6" max="6" width="20.81640625" style="3" customWidth="1"/>
    <col min="7" max="7" width="5.7265625" style="6" customWidth="1"/>
    <col min="8" max="8" width="8.81640625" style="3"/>
    <col min="9" max="9" width="21.26953125" style="5" customWidth="1"/>
    <col min="10" max="12" width="8.81640625" style="5"/>
    <col min="13" max="14" width="8.81640625" style="40"/>
    <col min="15" max="16384" width="8.81640625" style="3"/>
  </cols>
  <sheetData>
    <row r="1" spans="1:14" s="1" customFormat="1" ht="24" thickBot="1" x14ac:dyDescent="0.4">
      <c r="A1" s="123" t="s">
        <v>0</v>
      </c>
      <c r="B1" s="124"/>
      <c r="C1" s="124"/>
      <c r="D1" s="124"/>
      <c r="E1" s="124"/>
      <c r="F1" s="124"/>
      <c r="G1" s="161"/>
      <c r="I1" s="49"/>
      <c r="J1" s="49"/>
      <c r="K1" s="49"/>
      <c r="L1" s="49"/>
      <c r="M1" s="38"/>
      <c r="N1" s="38"/>
    </row>
    <row r="2" spans="1:14" s="2" customFormat="1" ht="15.5" x14ac:dyDescent="0.35">
      <c r="A2" s="162" t="s">
        <v>1</v>
      </c>
      <c r="B2" s="163"/>
      <c r="C2" s="8"/>
      <c r="D2" s="164"/>
      <c r="E2" s="165"/>
      <c r="F2" s="165"/>
      <c r="G2" s="166"/>
      <c r="I2" s="50"/>
      <c r="J2" s="50"/>
      <c r="K2" s="50"/>
      <c r="L2" s="50"/>
      <c r="M2" s="39"/>
      <c r="N2" s="39"/>
    </row>
    <row r="3" spans="1:14" s="2" customFormat="1" ht="15.5" x14ac:dyDescent="0.35">
      <c r="A3" s="190" t="s">
        <v>14</v>
      </c>
      <c r="B3" s="191"/>
      <c r="C3" s="9"/>
      <c r="D3" s="167"/>
      <c r="E3" s="168"/>
      <c r="F3" s="168"/>
      <c r="G3" s="169"/>
      <c r="I3" s="50"/>
      <c r="J3" s="50"/>
      <c r="K3" s="50"/>
      <c r="L3" s="50"/>
      <c r="M3" s="39"/>
      <c r="N3" s="39"/>
    </row>
    <row r="4" spans="1:14" s="2" customFormat="1" ht="15.5" x14ac:dyDescent="0.35">
      <c r="A4" s="190" t="s">
        <v>2</v>
      </c>
      <c r="B4" s="191"/>
      <c r="C4" s="9"/>
      <c r="D4" s="167"/>
      <c r="E4" s="168"/>
      <c r="F4" s="168"/>
      <c r="G4" s="169"/>
      <c r="I4" s="50"/>
      <c r="J4" s="50"/>
      <c r="K4" s="50"/>
      <c r="L4" s="50"/>
      <c r="M4" s="39"/>
      <c r="N4" s="39"/>
    </row>
    <row r="5" spans="1:14" s="2" customFormat="1" ht="15.5" x14ac:dyDescent="0.35">
      <c r="A5" s="190" t="s">
        <v>3</v>
      </c>
      <c r="B5" s="191"/>
      <c r="C5" s="9"/>
      <c r="D5" s="167"/>
      <c r="E5" s="168"/>
      <c r="F5" s="168"/>
      <c r="G5" s="169"/>
      <c r="I5" s="50"/>
      <c r="J5" s="50"/>
      <c r="K5" s="50"/>
      <c r="L5" s="50"/>
      <c r="M5" s="39"/>
      <c r="N5" s="39"/>
    </row>
    <row r="6" spans="1:14" s="2" customFormat="1" ht="16" thickBot="1" x14ac:dyDescent="0.4">
      <c r="A6" s="192" t="s">
        <v>15</v>
      </c>
      <c r="B6" s="193"/>
      <c r="C6" s="10"/>
      <c r="D6" s="170"/>
      <c r="E6" s="171"/>
      <c r="F6" s="171"/>
      <c r="G6" s="172"/>
      <c r="I6" s="50"/>
      <c r="J6" s="50"/>
      <c r="K6" s="50"/>
      <c r="L6" s="50"/>
      <c r="M6" s="39"/>
      <c r="N6" s="39"/>
    </row>
    <row r="7" spans="1:14" x14ac:dyDescent="0.35">
      <c r="A7" s="173"/>
      <c r="B7" s="174"/>
      <c r="C7" s="174"/>
      <c r="D7" s="174"/>
      <c r="E7" s="174"/>
      <c r="F7" s="174"/>
      <c r="G7" s="175"/>
    </row>
    <row r="8" spans="1:14" x14ac:dyDescent="0.35">
      <c r="A8" s="176"/>
      <c r="B8" s="177"/>
      <c r="C8" s="177"/>
      <c r="D8" s="177"/>
      <c r="E8" s="177"/>
      <c r="F8" s="177"/>
      <c r="G8" s="178"/>
    </row>
    <row r="9" spans="1:14" x14ac:dyDescent="0.35">
      <c r="A9" s="176"/>
      <c r="B9" s="177"/>
      <c r="C9" s="177"/>
      <c r="D9" s="177"/>
      <c r="E9" s="177"/>
      <c r="F9" s="177"/>
      <c r="G9" s="178"/>
    </row>
    <row r="10" spans="1:14" x14ac:dyDescent="0.35">
      <c r="A10" s="176"/>
      <c r="B10" s="177"/>
      <c r="C10" s="177"/>
      <c r="D10" s="177"/>
      <c r="E10" s="177"/>
      <c r="F10" s="177"/>
      <c r="G10" s="178"/>
    </row>
    <row r="11" spans="1:14" x14ac:dyDescent="0.35">
      <c r="A11" s="176"/>
      <c r="B11" s="177"/>
      <c r="C11" s="177"/>
      <c r="D11" s="177"/>
      <c r="E11" s="177"/>
      <c r="F11" s="177"/>
      <c r="G11" s="178"/>
    </row>
    <row r="12" spans="1:14" x14ac:dyDescent="0.35">
      <c r="A12" s="176"/>
      <c r="B12" s="177"/>
      <c r="C12" s="177"/>
      <c r="D12" s="177"/>
      <c r="E12" s="177"/>
      <c r="F12" s="177"/>
      <c r="G12" s="178"/>
    </row>
    <row r="13" spans="1:14" x14ac:dyDescent="0.35">
      <c r="A13" s="176"/>
      <c r="B13" s="177"/>
      <c r="C13" s="177"/>
      <c r="D13" s="177"/>
      <c r="E13" s="177"/>
      <c r="F13" s="177"/>
      <c r="G13" s="178"/>
    </row>
    <row r="14" spans="1:14" x14ac:dyDescent="0.35">
      <c r="A14" s="176"/>
      <c r="B14" s="177"/>
      <c r="C14" s="177"/>
      <c r="D14" s="177"/>
      <c r="E14" s="177"/>
      <c r="F14" s="177"/>
      <c r="G14" s="178"/>
    </row>
    <row r="15" spans="1:14" x14ac:dyDescent="0.35">
      <c r="A15" s="176"/>
      <c r="B15" s="177"/>
      <c r="C15" s="177"/>
      <c r="D15" s="177"/>
      <c r="E15" s="177"/>
      <c r="F15" s="177"/>
      <c r="G15" s="178"/>
      <c r="M15" s="35" t="s">
        <v>16</v>
      </c>
      <c r="N15" s="35"/>
    </row>
    <row r="16" spans="1:14" x14ac:dyDescent="0.35">
      <c r="A16" s="176"/>
      <c r="B16" s="177"/>
      <c r="C16" s="177"/>
      <c r="D16" s="177"/>
      <c r="E16" s="177"/>
      <c r="F16" s="177"/>
      <c r="G16" s="178"/>
      <c r="M16" s="35" t="s">
        <v>17</v>
      </c>
      <c r="N16" s="36">
        <f>D56</f>
        <v>0.84705882352941175</v>
      </c>
    </row>
    <row r="17" spans="1:14" x14ac:dyDescent="0.35">
      <c r="A17" s="176"/>
      <c r="B17" s="177"/>
      <c r="C17" s="177"/>
      <c r="D17" s="177"/>
      <c r="E17" s="177"/>
      <c r="F17" s="177"/>
      <c r="G17" s="178"/>
      <c r="M17" s="35" t="s">
        <v>18</v>
      </c>
      <c r="N17" s="37">
        <v>0.02</v>
      </c>
    </row>
    <row r="18" spans="1:14" x14ac:dyDescent="0.35">
      <c r="A18" s="176"/>
      <c r="B18" s="177"/>
      <c r="C18" s="177"/>
      <c r="D18" s="177"/>
      <c r="E18" s="177"/>
      <c r="F18" s="177"/>
      <c r="G18" s="178"/>
      <c r="M18" s="35" t="s">
        <v>19</v>
      </c>
      <c r="N18" s="36">
        <f>200%-(N16+N17)</f>
        <v>1.1329411764705881</v>
      </c>
    </row>
    <row r="19" spans="1:14" x14ac:dyDescent="0.35">
      <c r="A19" s="176"/>
      <c r="B19" s="177"/>
      <c r="C19" s="177"/>
      <c r="D19" s="177"/>
      <c r="E19" s="177"/>
      <c r="F19" s="177"/>
      <c r="G19" s="178"/>
    </row>
    <row r="20" spans="1:14" ht="15" thickBot="1" x14ac:dyDescent="0.4">
      <c r="A20" s="179"/>
      <c r="B20" s="180"/>
      <c r="C20" s="180"/>
      <c r="D20" s="180"/>
      <c r="E20" s="180"/>
      <c r="F20" s="180"/>
      <c r="G20" s="181"/>
      <c r="M20" s="35" t="s">
        <v>20</v>
      </c>
      <c r="N20" s="35"/>
    </row>
    <row r="21" spans="1:14" s="4" customFormat="1" ht="16" thickBot="1" x14ac:dyDescent="0.4">
      <c r="A21" s="11" t="s">
        <v>21</v>
      </c>
      <c r="B21" s="12" t="s">
        <v>7</v>
      </c>
      <c r="C21" s="17" t="s">
        <v>22</v>
      </c>
      <c r="D21" s="20" t="s">
        <v>23</v>
      </c>
      <c r="E21" s="66"/>
      <c r="F21" s="182" t="s">
        <v>24</v>
      </c>
      <c r="G21" s="183"/>
      <c r="I21" s="51"/>
      <c r="J21" s="51"/>
      <c r="K21" s="51"/>
      <c r="L21" s="51"/>
      <c r="M21" s="35" t="s">
        <v>25</v>
      </c>
      <c r="N21" s="35">
        <v>20</v>
      </c>
    </row>
    <row r="22" spans="1:14" ht="30" customHeight="1" x14ac:dyDescent="0.35">
      <c r="A22" s="27">
        <v>1</v>
      </c>
      <c r="B22" s="147" t="s">
        <v>26</v>
      </c>
      <c r="C22" s="29" t="s">
        <v>27</v>
      </c>
      <c r="D22" s="55">
        <v>5</v>
      </c>
      <c r="E22" s="67"/>
      <c r="F22" s="68" t="s">
        <v>28</v>
      </c>
      <c r="G22" s="69">
        <v>5</v>
      </c>
      <c r="M22" s="35" t="s">
        <v>29</v>
      </c>
      <c r="N22" s="35">
        <v>20</v>
      </c>
    </row>
    <row r="23" spans="1:14" ht="30" customHeight="1" x14ac:dyDescent="0.35">
      <c r="A23" s="28">
        <f>A22+1</f>
        <v>2</v>
      </c>
      <c r="B23" s="148"/>
      <c r="C23" s="30" t="s">
        <v>30</v>
      </c>
      <c r="D23" s="21">
        <v>4</v>
      </c>
      <c r="E23" s="67"/>
      <c r="F23" s="70" t="s">
        <v>31</v>
      </c>
      <c r="G23" s="71">
        <v>4</v>
      </c>
      <c r="M23" s="35" t="s">
        <v>32</v>
      </c>
      <c r="N23" s="35">
        <v>20</v>
      </c>
    </row>
    <row r="24" spans="1:14" ht="30" customHeight="1" x14ac:dyDescent="0.35">
      <c r="A24" s="28">
        <f>A23+1</f>
        <v>3</v>
      </c>
      <c r="B24" s="148"/>
      <c r="C24" s="30" t="s">
        <v>33</v>
      </c>
      <c r="D24" s="21">
        <v>5</v>
      </c>
      <c r="E24" s="67"/>
      <c r="F24" s="72" t="s">
        <v>34</v>
      </c>
      <c r="G24" s="73">
        <v>3</v>
      </c>
      <c r="M24" s="35" t="s">
        <v>35</v>
      </c>
      <c r="N24" s="35">
        <v>20</v>
      </c>
    </row>
    <row r="25" spans="1:14" ht="30" customHeight="1" x14ac:dyDescent="0.35">
      <c r="A25" s="28">
        <f>A24+1</f>
        <v>4</v>
      </c>
      <c r="B25" s="148"/>
      <c r="C25" s="52" t="s">
        <v>36</v>
      </c>
      <c r="D25" s="21">
        <v>4</v>
      </c>
      <c r="E25" s="67"/>
      <c r="F25" s="74" t="s">
        <v>37</v>
      </c>
      <c r="G25" s="75">
        <v>2</v>
      </c>
      <c r="M25" s="35" t="s">
        <v>38</v>
      </c>
      <c r="N25" s="35">
        <v>20</v>
      </c>
    </row>
    <row r="26" spans="1:14" ht="30" customHeight="1" thickBot="1" x14ac:dyDescent="0.4">
      <c r="A26" s="28">
        <f>A25+1</f>
        <v>5</v>
      </c>
      <c r="B26" s="148"/>
      <c r="C26" s="30" t="s">
        <v>39</v>
      </c>
      <c r="D26" s="56">
        <v>4</v>
      </c>
      <c r="E26" s="67"/>
      <c r="F26" s="76" t="s">
        <v>40</v>
      </c>
      <c r="G26" s="77">
        <v>1</v>
      </c>
      <c r="M26" s="35" t="s">
        <v>19</v>
      </c>
      <c r="N26" s="35">
        <v>100</v>
      </c>
    </row>
    <row r="27" spans="1:14" ht="25" customHeight="1" x14ac:dyDescent="0.35">
      <c r="A27" s="138"/>
      <c r="B27" s="148"/>
      <c r="C27" s="18" t="s">
        <v>41</v>
      </c>
      <c r="D27" s="22">
        <f>SUM(D22:D26)</f>
        <v>22</v>
      </c>
      <c r="E27" s="67"/>
      <c r="F27" s="184"/>
      <c r="G27" s="185"/>
    </row>
    <row r="28" spans="1:14" ht="25" customHeight="1" x14ac:dyDescent="0.35">
      <c r="A28" s="139"/>
      <c r="B28" s="148"/>
      <c r="C28" s="18" t="s">
        <v>42</v>
      </c>
      <c r="D28" s="54">
        <f>COUNT(A22:A26)*$G$22</f>
        <v>25</v>
      </c>
      <c r="E28" s="67"/>
      <c r="F28" s="186"/>
      <c r="G28" s="187"/>
    </row>
    <row r="29" spans="1:14" ht="25" customHeight="1" thickBot="1" x14ac:dyDescent="0.4">
      <c r="A29" s="140"/>
      <c r="B29" s="149"/>
      <c r="C29" s="19" t="s">
        <v>26</v>
      </c>
      <c r="D29" s="23">
        <f>D27/D28</f>
        <v>0.88</v>
      </c>
      <c r="E29" s="67"/>
      <c r="F29" s="186"/>
      <c r="G29" s="187"/>
    </row>
    <row r="30" spans="1:14" ht="18.75" customHeight="1" x14ac:dyDescent="0.35">
      <c r="A30" s="150">
        <f>A26+1</f>
        <v>6</v>
      </c>
      <c r="B30" s="147" t="s">
        <v>43</v>
      </c>
      <c r="C30" s="160" t="s">
        <v>44</v>
      </c>
      <c r="D30" s="152">
        <v>4</v>
      </c>
      <c r="E30" s="78"/>
      <c r="F30" s="186"/>
      <c r="G30" s="187"/>
    </row>
    <row r="31" spans="1:14" ht="18.75" customHeight="1" x14ac:dyDescent="0.35">
      <c r="A31" s="151"/>
      <c r="B31" s="148"/>
      <c r="C31" s="156"/>
      <c r="D31" s="153"/>
      <c r="E31" s="78"/>
      <c r="F31" s="186"/>
      <c r="G31" s="187"/>
    </row>
    <row r="32" spans="1:14" ht="36.75" customHeight="1" x14ac:dyDescent="0.35">
      <c r="A32" s="28">
        <f>A30+1</f>
        <v>7</v>
      </c>
      <c r="B32" s="148"/>
      <c r="C32" s="29" t="s">
        <v>45</v>
      </c>
      <c r="D32" s="21">
        <v>4</v>
      </c>
      <c r="E32" s="78"/>
      <c r="F32" s="186"/>
      <c r="G32" s="187"/>
    </row>
    <row r="33" spans="1:7" ht="36.75" customHeight="1" x14ac:dyDescent="0.35">
      <c r="A33" s="28">
        <f t="shared" ref="A33:A34" si="0">A32+1</f>
        <v>8</v>
      </c>
      <c r="B33" s="148"/>
      <c r="C33" s="29" t="s">
        <v>46</v>
      </c>
      <c r="D33" s="21">
        <v>4</v>
      </c>
      <c r="E33" s="78"/>
      <c r="F33" s="186"/>
      <c r="G33" s="187"/>
    </row>
    <row r="34" spans="1:7" ht="35.25" customHeight="1" x14ac:dyDescent="0.35">
      <c r="A34" s="28">
        <f t="shared" si="0"/>
        <v>9</v>
      </c>
      <c r="B34" s="148"/>
      <c r="C34" s="29" t="s">
        <v>47</v>
      </c>
      <c r="D34" s="21">
        <v>4</v>
      </c>
      <c r="E34" s="78"/>
      <c r="F34" s="186"/>
      <c r="G34" s="187"/>
    </row>
    <row r="35" spans="1:7" ht="25" customHeight="1" x14ac:dyDescent="0.35">
      <c r="A35" s="138"/>
      <c r="B35" s="148"/>
      <c r="C35" s="18" t="s">
        <v>41</v>
      </c>
      <c r="D35" s="22">
        <f>SUM(D30:D34)</f>
        <v>16</v>
      </c>
      <c r="E35" s="78"/>
      <c r="F35" s="186"/>
      <c r="G35" s="187"/>
    </row>
    <row r="36" spans="1:7" ht="25" customHeight="1" x14ac:dyDescent="0.35">
      <c r="A36" s="139"/>
      <c r="B36" s="148"/>
      <c r="C36" s="18" t="s">
        <v>42</v>
      </c>
      <c r="D36" s="22">
        <f>COUNT(A30:A34)*$G$22</f>
        <v>20</v>
      </c>
      <c r="E36" s="78"/>
      <c r="F36" s="186"/>
      <c r="G36" s="187"/>
    </row>
    <row r="37" spans="1:7" ht="25" customHeight="1" thickBot="1" x14ac:dyDescent="0.4">
      <c r="A37" s="140"/>
      <c r="B37" s="149"/>
      <c r="C37" s="19" t="s">
        <v>43</v>
      </c>
      <c r="D37" s="23">
        <f>D35/D36</f>
        <v>0.8</v>
      </c>
      <c r="E37" s="78"/>
      <c r="F37" s="186"/>
      <c r="G37" s="187"/>
    </row>
    <row r="38" spans="1:7" ht="24" customHeight="1" x14ac:dyDescent="0.35">
      <c r="A38" s="27">
        <f>A34+1</f>
        <v>10</v>
      </c>
      <c r="B38" s="147" t="s">
        <v>48</v>
      </c>
      <c r="C38" s="29" t="s">
        <v>49</v>
      </c>
      <c r="D38" s="21">
        <v>3</v>
      </c>
      <c r="E38" s="78"/>
      <c r="F38" s="186"/>
      <c r="G38" s="187"/>
    </row>
    <row r="39" spans="1:7" ht="24" customHeight="1" x14ac:dyDescent="0.35">
      <c r="A39" s="28">
        <f t="shared" ref="A39:A40" si="1">A38+1</f>
        <v>11</v>
      </c>
      <c r="B39" s="148"/>
      <c r="C39" s="52" t="s">
        <v>50</v>
      </c>
      <c r="D39" s="21">
        <v>3</v>
      </c>
      <c r="E39" s="78"/>
      <c r="F39" s="186"/>
      <c r="G39" s="187"/>
    </row>
    <row r="40" spans="1:7" ht="13.5" customHeight="1" x14ac:dyDescent="0.35">
      <c r="A40" s="138">
        <f t="shared" si="1"/>
        <v>12</v>
      </c>
      <c r="B40" s="148"/>
      <c r="C40" s="154" t="s">
        <v>51</v>
      </c>
      <c r="D40" s="157">
        <v>3</v>
      </c>
      <c r="E40" s="78"/>
      <c r="F40" s="186"/>
      <c r="G40" s="187"/>
    </row>
    <row r="41" spans="1:7" ht="13.5" customHeight="1" x14ac:dyDescent="0.35">
      <c r="A41" s="139"/>
      <c r="B41" s="148"/>
      <c r="C41" s="155"/>
      <c r="D41" s="158"/>
      <c r="E41" s="78"/>
      <c r="F41" s="186"/>
      <c r="G41" s="187"/>
    </row>
    <row r="42" spans="1:7" ht="13.5" customHeight="1" x14ac:dyDescent="0.35">
      <c r="A42" s="151"/>
      <c r="B42" s="148"/>
      <c r="C42" s="156"/>
      <c r="D42" s="153"/>
      <c r="E42" s="78"/>
      <c r="F42" s="186"/>
      <c r="G42" s="187"/>
    </row>
    <row r="43" spans="1:7" ht="25" customHeight="1" x14ac:dyDescent="0.35">
      <c r="A43" s="138"/>
      <c r="B43" s="148"/>
      <c r="C43" s="18" t="s">
        <v>41</v>
      </c>
      <c r="D43" s="22">
        <f>SUM(D38:D42)</f>
        <v>9</v>
      </c>
      <c r="E43" s="78"/>
      <c r="F43" s="186"/>
      <c r="G43" s="187"/>
    </row>
    <row r="44" spans="1:7" ht="25" customHeight="1" x14ac:dyDescent="0.35">
      <c r="A44" s="139"/>
      <c r="B44" s="148"/>
      <c r="C44" s="18" t="s">
        <v>42</v>
      </c>
      <c r="D44" s="22">
        <f>COUNT(A38:A42)*$G$22</f>
        <v>15</v>
      </c>
      <c r="E44" s="78"/>
      <c r="F44" s="186"/>
      <c r="G44" s="187"/>
    </row>
    <row r="45" spans="1:7" ht="25" customHeight="1" thickBot="1" x14ac:dyDescent="0.4">
      <c r="A45" s="140"/>
      <c r="B45" s="149"/>
      <c r="C45" s="19" t="s">
        <v>52</v>
      </c>
      <c r="D45" s="23">
        <f>D43/D44</f>
        <v>0.6</v>
      </c>
      <c r="E45" s="78"/>
      <c r="F45" s="186"/>
      <c r="G45" s="187"/>
    </row>
    <row r="46" spans="1:7" ht="23.25" customHeight="1" x14ac:dyDescent="0.35">
      <c r="A46" s="27">
        <f>A40+1</f>
        <v>13</v>
      </c>
      <c r="B46" s="147" t="s">
        <v>53</v>
      </c>
      <c r="C46" s="53" t="s">
        <v>54</v>
      </c>
      <c r="D46" s="21">
        <v>5</v>
      </c>
      <c r="E46" s="78"/>
      <c r="F46" s="186"/>
      <c r="G46" s="187"/>
    </row>
    <row r="47" spans="1:7" ht="23.25" customHeight="1" x14ac:dyDescent="0.35">
      <c r="A47" s="28">
        <f t="shared" ref="A47:A50" si="2">A46+1</f>
        <v>14</v>
      </c>
      <c r="B47" s="148"/>
      <c r="C47" s="30" t="s">
        <v>55</v>
      </c>
      <c r="D47" s="21">
        <v>5</v>
      </c>
      <c r="E47" s="78"/>
      <c r="F47" s="186"/>
      <c r="G47" s="187"/>
    </row>
    <row r="48" spans="1:7" ht="23.25" customHeight="1" x14ac:dyDescent="0.35">
      <c r="A48" s="28">
        <f t="shared" si="2"/>
        <v>15</v>
      </c>
      <c r="B48" s="148"/>
      <c r="C48" s="30" t="s">
        <v>56</v>
      </c>
      <c r="D48" s="21">
        <v>5</v>
      </c>
      <c r="E48" s="78"/>
      <c r="F48" s="186"/>
      <c r="G48" s="187"/>
    </row>
    <row r="49" spans="1:14" ht="23.25" customHeight="1" x14ac:dyDescent="0.35">
      <c r="A49" s="28">
        <f t="shared" si="2"/>
        <v>16</v>
      </c>
      <c r="B49" s="148"/>
      <c r="C49" s="30" t="s">
        <v>57</v>
      </c>
      <c r="D49" s="21">
        <v>5</v>
      </c>
      <c r="E49" s="78"/>
      <c r="F49" s="186"/>
      <c r="G49" s="187"/>
    </row>
    <row r="50" spans="1:14" ht="23.25" customHeight="1" x14ac:dyDescent="0.35">
      <c r="A50" s="28">
        <f t="shared" si="2"/>
        <v>17</v>
      </c>
      <c r="B50" s="148"/>
      <c r="C50" s="30" t="s">
        <v>58</v>
      </c>
      <c r="D50" s="21">
        <v>5</v>
      </c>
      <c r="E50" s="78"/>
      <c r="F50" s="186"/>
      <c r="G50" s="187"/>
    </row>
    <row r="51" spans="1:14" ht="25" customHeight="1" x14ac:dyDescent="0.35">
      <c r="A51" s="138"/>
      <c r="B51" s="148"/>
      <c r="C51" s="18" t="s">
        <v>41</v>
      </c>
      <c r="D51" s="22">
        <f>SUM(D46:D50)</f>
        <v>25</v>
      </c>
      <c r="E51" s="78"/>
      <c r="F51" s="186"/>
      <c r="G51" s="187"/>
    </row>
    <row r="52" spans="1:14" ht="25" customHeight="1" x14ac:dyDescent="0.35">
      <c r="A52" s="139"/>
      <c r="B52" s="148"/>
      <c r="C52" s="18" t="s">
        <v>42</v>
      </c>
      <c r="D52" s="22">
        <f>COUNT(A46:A50)*$G$22</f>
        <v>25</v>
      </c>
      <c r="E52" s="78"/>
      <c r="F52" s="186"/>
      <c r="G52" s="187"/>
    </row>
    <row r="53" spans="1:14" ht="25" customHeight="1" thickBot="1" x14ac:dyDescent="0.4">
      <c r="A53" s="140"/>
      <c r="B53" s="149"/>
      <c r="C53" s="19" t="s">
        <v>12</v>
      </c>
      <c r="D53" s="23">
        <f>D51/D52</f>
        <v>1</v>
      </c>
      <c r="E53" s="78"/>
      <c r="F53" s="186"/>
      <c r="G53" s="187"/>
    </row>
    <row r="54" spans="1:14" ht="15.75" customHeight="1" x14ac:dyDescent="0.35">
      <c r="A54" s="141"/>
      <c r="B54" s="142"/>
      <c r="C54" s="79" t="s">
        <v>59</v>
      </c>
      <c r="D54" s="80">
        <f>D27+D35+D43+D51</f>
        <v>72</v>
      </c>
      <c r="E54" s="78"/>
      <c r="F54" s="186"/>
      <c r="G54" s="187"/>
    </row>
    <row r="55" spans="1:14" ht="15.75" customHeight="1" x14ac:dyDescent="0.35">
      <c r="A55" s="143"/>
      <c r="B55" s="144"/>
      <c r="C55" s="81" t="s">
        <v>60</v>
      </c>
      <c r="D55" s="82">
        <f>+D28+D44+D52+D36</f>
        <v>85</v>
      </c>
      <c r="E55" s="78"/>
      <c r="F55" s="186"/>
      <c r="G55" s="187"/>
    </row>
    <row r="56" spans="1:14" ht="15.75" customHeight="1" thickBot="1" x14ac:dyDescent="0.4">
      <c r="A56" s="145"/>
      <c r="B56" s="146"/>
      <c r="C56" s="48" t="s">
        <v>61</v>
      </c>
      <c r="D56" s="26">
        <f>D54/D55</f>
        <v>0.84705882352941175</v>
      </c>
      <c r="E56" s="83"/>
      <c r="F56" s="188"/>
      <c r="G56" s="189"/>
    </row>
    <row r="57" spans="1:14" ht="15.75" customHeight="1" x14ac:dyDescent="0.35">
      <c r="E57" s="6"/>
      <c r="G57" s="3"/>
    </row>
    <row r="58" spans="1:14" ht="15.75" customHeight="1" x14ac:dyDescent="0.35">
      <c r="E58" s="6"/>
      <c r="G58" s="3"/>
    </row>
    <row r="59" spans="1:14" ht="15" customHeight="1" x14ac:dyDescent="0.35">
      <c r="E59" s="6"/>
      <c r="G59" s="3"/>
    </row>
    <row r="60" spans="1:14" ht="15" customHeight="1" x14ac:dyDescent="0.35">
      <c r="E60" s="6"/>
      <c r="G60" s="3"/>
    </row>
    <row r="61" spans="1:14" ht="15" customHeight="1" x14ac:dyDescent="0.35">
      <c r="E61" s="6"/>
      <c r="G61" s="3"/>
    </row>
    <row r="62" spans="1:14" s="5" customFormat="1" ht="15" customHeight="1" x14ac:dyDescent="0.35">
      <c r="A62" s="3"/>
      <c r="B62" s="3"/>
      <c r="C62" s="3"/>
      <c r="D62" s="6"/>
      <c r="E62" s="6"/>
      <c r="F62" s="3"/>
      <c r="G62" s="3"/>
      <c r="M62" s="40"/>
      <c r="N62" s="40"/>
    </row>
    <row r="63" spans="1:14" ht="15" customHeight="1" x14ac:dyDescent="0.35">
      <c r="E63" s="6"/>
      <c r="G63" s="3"/>
    </row>
    <row r="64" spans="1:14" s="2" customFormat="1" ht="15.5" x14ac:dyDescent="0.35">
      <c r="A64" s="3"/>
      <c r="B64" s="3"/>
      <c r="C64" s="3"/>
      <c r="D64" s="6"/>
      <c r="E64" s="6"/>
      <c r="F64" s="3"/>
      <c r="G64" s="3"/>
      <c r="I64" s="50"/>
      <c r="J64" s="50"/>
      <c r="K64" s="50"/>
      <c r="L64" s="50"/>
      <c r="M64" s="39"/>
      <c r="N64" s="39"/>
    </row>
    <row r="66" spans="7:7" x14ac:dyDescent="0.35">
      <c r="G66" s="7"/>
    </row>
    <row r="67" spans="7:7" x14ac:dyDescent="0.35">
      <c r="G67" s="7"/>
    </row>
    <row r="68" spans="7:7" x14ac:dyDescent="0.35">
      <c r="G68" s="7"/>
    </row>
    <row r="69" spans="7:7" x14ac:dyDescent="0.35">
      <c r="G69" s="7"/>
    </row>
  </sheetData>
  <mergeCells count="25">
    <mergeCell ref="B46:B53"/>
    <mergeCell ref="A51:A53"/>
    <mergeCell ref="A7:G20"/>
    <mergeCell ref="F21:G21"/>
    <mergeCell ref="B22:B29"/>
    <mergeCell ref="A27:A29"/>
    <mergeCell ref="F27:G56"/>
    <mergeCell ref="A30:A31"/>
    <mergeCell ref="B30:B37"/>
    <mergeCell ref="C30:C31"/>
    <mergeCell ref="D30:D31"/>
    <mergeCell ref="A35:A37"/>
    <mergeCell ref="A54:B56"/>
    <mergeCell ref="B38:B45"/>
    <mergeCell ref="A40:A42"/>
    <mergeCell ref="C40:C42"/>
    <mergeCell ref="D40:D42"/>
    <mergeCell ref="A43:A45"/>
    <mergeCell ref="A1:G1"/>
    <mergeCell ref="A2:B2"/>
    <mergeCell ref="D2:G6"/>
    <mergeCell ref="A3:B3"/>
    <mergeCell ref="A4:B4"/>
    <mergeCell ref="A5:B5"/>
    <mergeCell ref="A6:B6"/>
  </mergeCells>
  <conditionalFormatting sqref="D22:D26 D30 D32:D34">
    <cfRule type="cellIs" dxfId="125" priority="13" operator="equal">
      <formula>1</formula>
    </cfRule>
    <cfRule type="cellIs" dxfId="124" priority="14" operator="equal">
      <formula>2</formula>
    </cfRule>
    <cfRule type="cellIs" dxfId="123" priority="15" operator="equal">
      <formula>3</formula>
    </cfRule>
    <cfRule type="cellIs" dxfId="122" priority="16" operator="equal">
      <formula>4</formula>
    </cfRule>
    <cfRule type="cellIs" dxfId="121" priority="17" operator="equal">
      <formula>5</formula>
    </cfRule>
    <cfRule type="containsBlanks" dxfId="120" priority="18">
      <formula>LEN(TRIM(D22))=0</formula>
    </cfRule>
  </conditionalFormatting>
  <conditionalFormatting sqref="D38:D40">
    <cfRule type="cellIs" dxfId="119" priority="7" operator="equal">
      <formula>1</formula>
    </cfRule>
    <cfRule type="cellIs" dxfId="118" priority="8" operator="equal">
      <formula>2</formula>
    </cfRule>
    <cfRule type="cellIs" dxfId="117" priority="9" operator="equal">
      <formula>3</formula>
    </cfRule>
    <cfRule type="cellIs" dxfId="116" priority="10" operator="equal">
      <formula>4</formula>
    </cfRule>
    <cfRule type="cellIs" dxfId="115" priority="11" operator="equal">
      <formula>5</formula>
    </cfRule>
    <cfRule type="containsBlanks" dxfId="114" priority="12">
      <formula>LEN(TRIM(D38))=0</formula>
    </cfRule>
  </conditionalFormatting>
  <conditionalFormatting sqref="D46:D50">
    <cfRule type="cellIs" dxfId="113" priority="1" operator="equal">
      <formula>1</formula>
    </cfRule>
    <cfRule type="cellIs" dxfId="112" priority="2" operator="equal">
      <formula>2</formula>
    </cfRule>
    <cfRule type="cellIs" dxfId="111" priority="3" operator="equal">
      <formula>3</formula>
    </cfRule>
    <cfRule type="cellIs" dxfId="110" priority="4" operator="equal">
      <formula>4</formula>
    </cfRule>
    <cfRule type="cellIs" dxfId="109" priority="5" operator="equal">
      <formula>5</formula>
    </cfRule>
    <cfRule type="containsBlanks" dxfId="108" priority="6">
      <formula>LEN(TRIM(D46))=0</formula>
    </cfRule>
  </conditionalFormatting>
  <dataValidations count="1">
    <dataValidation type="list" allowBlank="1" showInputMessage="1" showErrorMessage="1" sqref="D22:D26 D46:D50 D38:D40 D30 D32:D34" xr:uid="{00000000-0002-0000-0300-000000000000}">
      <formula1>$G$22:$G$26</formula1>
    </dataValidation>
  </dataValidations>
  <printOptions horizontalCentered="1"/>
  <pageMargins left="0" right="0" top="7.874015748031496E-2" bottom="0" header="0" footer="0"/>
  <pageSetup paperSize="9"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9"/>
  <sheetViews>
    <sheetView topLeftCell="A10" zoomScale="80" zoomScaleNormal="80" workbookViewId="0">
      <selection activeCell="K12" sqref="K12"/>
    </sheetView>
  </sheetViews>
  <sheetFormatPr defaultColWidth="8.81640625" defaultRowHeight="14.5" x14ac:dyDescent="0.35"/>
  <cols>
    <col min="1" max="1" width="9.7265625" style="3" customWidth="1"/>
    <col min="2" max="2" width="20" style="3" customWidth="1"/>
    <col min="3" max="3" width="74.81640625" style="3" customWidth="1"/>
    <col min="4" max="4" width="9.7265625" style="6" customWidth="1"/>
    <col min="5" max="5" width="2.26953125" style="3" customWidth="1"/>
    <col min="6" max="6" width="20.81640625" style="3" customWidth="1"/>
    <col min="7" max="7" width="5.7265625" style="6" customWidth="1"/>
    <col min="8" max="8" width="8.81640625" style="3"/>
    <col min="9" max="9" width="21.26953125" style="5" customWidth="1"/>
    <col min="10" max="12" width="8.81640625" style="5"/>
    <col min="13" max="14" width="8.81640625" style="40"/>
    <col min="15" max="16384" width="8.81640625" style="3"/>
  </cols>
  <sheetData>
    <row r="1" spans="1:14" s="1" customFormat="1" ht="24" thickBot="1" x14ac:dyDescent="0.4">
      <c r="A1" s="123" t="s">
        <v>0</v>
      </c>
      <c r="B1" s="124"/>
      <c r="C1" s="124"/>
      <c r="D1" s="124"/>
      <c r="E1" s="124"/>
      <c r="F1" s="124"/>
      <c r="G1" s="161"/>
      <c r="I1" s="49"/>
      <c r="J1" s="49"/>
      <c r="K1" s="49"/>
      <c r="L1" s="49"/>
      <c r="M1" s="38"/>
      <c r="N1" s="38"/>
    </row>
    <row r="2" spans="1:14" s="2" customFormat="1" ht="15.5" x14ac:dyDescent="0.35">
      <c r="A2" s="162" t="s">
        <v>1</v>
      </c>
      <c r="B2" s="163"/>
      <c r="C2" s="8"/>
      <c r="D2" s="164"/>
      <c r="E2" s="165"/>
      <c r="F2" s="165"/>
      <c r="G2" s="166"/>
      <c r="I2" s="50"/>
      <c r="J2" s="50"/>
      <c r="K2" s="50"/>
      <c r="L2" s="50"/>
      <c r="M2" s="39"/>
      <c r="N2" s="39"/>
    </row>
    <row r="3" spans="1:14" s="2" customFormat="1" ht="15.5" x14ac:dyDescent="0.35">
      <c r="A3" s="190" t="s">
        <v>14</v>
      </c>
      <c r="B3" s="191"/>
      <c r="C3" s="9"/>
      <c r="D3" s="167"/>
      <c r="E3" s="168"/>
      <c r="F3" s="168"/>
      <c r="G3" s="169"/>
      <c r="I3" s="50"/>
      <c r="J3" s="50"/>
      <c r="K3" s="50"/>
      <c r="L3" s="50"/>
      <c r="M3" s="39"/>
      <c r="N3" s="39"/>
    </row>
    <row r="4" spans="1:14" s="2" customFormat="1" ht="15.5" x14ac:dyDescent="0.35">
      <c r="A4" s="190" t="s">
        <v>2</v>
      </c>
      <c r="B4" s="191"/>
      <c r="C4" s="9"/>
      <c r="D4" s="167"/>
      <c r="E4" s="168"/>
      <c r="F4" s="168"/>
      <c r="G4" s="169"/>
      <c r="I4" s="50"/>
      <c r="J4" s="50"/>
      <c r="K4" s="50"/>
      <c r="L4" s="50"/>
      <c r="M4" s="39"/>
      <c r="N4" s="39"/>
    </row>
    <row r="5" spans="1:14" s="2" customFormat="1" ht="15.5" x14ac:dyDescent="0.35">
      <c r="A5" s="190" t="s">
        <v>3</v>
      </c>
      <c r="B5" s="191"/>
      <c r="C5" s="9"/>
      <c r="D5" s="167"/>
      <c r="E5" s="168"/>
      <c r="F5" s="168"/>
      <c r="G5" s="169"/>
      <c r="I5" s="50"/>
      <c r="J5" s="50"/>
      <c r="K5" s="50"/>
      <c r="L5" s="50"/>
      <c r="M5" s="39"/>
      <c r="N5" s="39"/>
    </row>
    <row r="6" spans="1:14" s="2" customFormat="1" ht="16" thickBot="1" x14ac:dyDescent="0.4">
      <c r="A6" s="192" t="s">
        <v>15</v>
      </c>
      <c r="B6" s="193"/>
      <c r="C6" s="10"/>
      <c r="D6" s="170"/>
      <c r="E6" s="171"/>
      <c r="F6" s="171"/>
      <c r="G6" s="172"/>
      <c r="I6" s="50"/>
      <c r="J6" s="50"/>
      <c r="K6" s="50"/>
      <c r="L6" s="50"/>
      <c r="M6" s="39"/>
      <c r="N6" s="39"/>
    </row>
    <row r="7" spans="1:14" x14ac:dyDescent="0.35">
      <c r="A7" s="173"/>
      <c r="B7" s="174"/>
      <c r="C7" s="174"/>
      <c r="D7" s="174"/>
      <c r="E7" s="174"/>
      <c r="F7" s="174"/>
      <c r="G7" s="175"/>
    </row>
    <row r="8" spans="1:14" x14ac:dyDescent="0.35">
      <c r="A8" s="176"/>
      <c r="B8" s="177"/>
      <c r="C8" s="177"/>
      <c r="D8" s="177"/>
      <c r="E8" s="177"/>
      <c r="F8" s="177"/>
      <c r="G8" s="178"/>
    </row>
    <row r="9" spans="1:14" x14ac:dyDescent="0.35">
      <c r="A9" s="176"/>
      <c r="B9" s="177"/>
      <c r="C9" s="177"/>
      <c r="D9" s="177"/>
      <c r="E9" s="177"/>
      <c r="F9" s="177"/>
      <c r="G9" s="178"/>
    </row>
    <row r="10" spans="1:14" x14ac:dyDescent="0.35">
      <c r="A10" s="176"/>
      <c r="B10" s="177"/>
      <c r="C10" s="177"/>
      <c r="D10" s="177"/>
      <c r="E10" s="177"/>
      <c r="F10" s="177"/>
      <c r="G10" s="178"/>
    </row>
    <row r="11" spans="1:14" x14ac:dyDescent="0.35">
      <c r="A11" s="176"/>
      <c r="B11" s="177"/>
      <c r="C11" s="177"/>
      <c r="D11" s="177"/>
      <c r="E11" s="177"/>
      <c r="F11" s="177"/>
      <c r="G11" s="178"/>
    </row>
    <row r="12" spans="1:14" x14ac:dyDescent="0.35">
      <c r="A12" s="176"/>
      <c r="B12" s="177"/>
      <c r="C12" s="177"/>
      <c r="D12" s="177"/>
      <c r="E12" s="177"/>
      <c r="F12" s="177"/>
      <c r="G12" s="178"/>
    </row>
    <row r="13" spans="1:14" x14ac:dyDescent="0.35">
      <c r="A13" s="176"/>
      <c r="B13" s="177"/>
      <c r="C13" s="177"/>
      <c r="D13" s="177"/>
      <c r="E13" s="177"/>
      <c r="F13" s="177"/>
      <c r="G13" s="178"/>
    </row>
    <row r="14" spans="1:14" x14ac:dyDescent="0.35">
      <c r="A14" s="176"/>
      <c r="B14" s="177"/>
      <c r="C14" s="177"/>
      <c r="D14" s="177"/>
      <c r="E14" s="177"/>
      <c r="F14" s="177"/>
      <c r="G14" s="178"/>
    </row>
    <row r="15" spans="1:14" x14ac:dyDescent="0.35">
      <c r="A15" s="176"/>
      <c r="B15" s="177"/>
      <c r="C15" s="177"/>
      <c r="D15" s="177"/>
      <c r="E15" s="177"/>
      <c r="F15" s="177"/>
      <c r="G15" s="178"/>
      <c r="M15" s="35" t="s">
        <v>16</v>
      </c>
      <c r="N15" s="35"/>
    </row>
    <row r="16" spans="1:14" x14ac:dyDescent="0.35">
      <c r="A16" s="176"/>
      <c r="B16" s="177"/>
      <c r="C16" s="177"/>
      <c r="D16" s="177"/>
      <c r="E16" s="177"/>
      <c r="F16" s="177"/>
      <c r="G16" s="178"/>
      <c r="M16" s="35" t="s">
        <v>17</v>
      </c>
      <c r="N16" s="36">
        <f>D56</f>
        <v>0.84705882352941175</v>
      </c>
    </row>
    <row r="17" spans="1:14" x14ac:dyDescent="0.35">
      <c r="A17" s="176"/>
      <c r="B17" s="177"/>
      <c r="C17" s="177"/>
      <c r="D17" s="177"/>
      <c r="E17" s="177"/>
      <c r="F17" s="177"/>
      <c r="G17" s="178"/>
      <c r="M17" s="35" t="s">
        <v>18</v>
      </c>
      <c r="N17" s="37">
        <v>0.02</v>
      </c>
    </row>
    <row r="18" spans="1:14" x14ac:dyDescent="0.35">
      <c r="A18" s="176"/>
      <c r="B18" s="177"/>
      <c r="C18" s="177"/>
      <c r="D18" s="177"/>
      <c r="E18" s="177"/>
      <c r="F18" s="177"/>
      <c r="G18" s="178"/>
      <c r="M18" s="35" t="s">
        <v>19</v>
      </c>
      <c r="N18" s="36">
        <f>200%-(N16+N17)</f>
        <v>1.1329411764705881</v>
      </c>
    </row>
    <row r="19" spans="1:14" x14ac:dyDescent="0.35">
      <c r="A19" s="176"/>
      <c r="B19" s="177"/>
      <c r="C19" s="177"/>
      <c r="D19" s="177"/>
      <c r="E19" s="177"/>
      <c r="F19" s="177"/>
      <c r="G19" s="178"/>
    </row>
    <row r="20" spans="1:14" ht="15" thickBot="1" x14ac:dyDescent="0.4">
      <c r="A20" s="179"/>
      <c r="B20" s="180"/>
      <c r="C20" s="180"/>
      <c r="D20" s="180"/>
      <c r="E20" s="180"/>
      <c r="F20" s="180"/>
      <c r="G20" s="181"/>
      <c r="M20" s="35" t="s">
        <v>20</v>
      </c>
      <c r="N20" s="35"/>
    </row>
    <row r="21" spans="1:14" s="4" customFormat="1" ht="16" thickBot="1" x14ac:dyDescent="0.4">
      <c r="A21" s="11" t="s">
        <v>21</v>
      </c>
      <c r="B21" s="12" t="s">
        <v>7</v>
      </c>
      <c r="C21" s="17" t="s">
        <v>22</v>
      </c>
      <c r="D21" s="20" t="s">
        <v>23</v>
      </c>
      <c r="E21" s="66"/>
      <c r="F21" s="182" t="s">
        <v>24</v>
      </c>
      <c r="G21" s="183"/>
      <c r="I21" s="51"/>
      <c r="J21" s="51"/>
      <c r="K21" s="51"/>
      <c r="L21" s="51"/>
      <c r="M21" s="35" t="s">
        <v>25</v>
      </c>
      <c r="N21" s="35">
        <v>20</v>
      </c>
    </row>
    <row r="22" spans="1:14" ht="30" customHeight="1" x14ac:dyDescent="0.35">
      <c r="A22" s="27">
        <v>1</v>
      </c>
      <c r="B22" s="147" t="s">
        <v>26</v>
      </c>
      <c r="C22" s="29" t="s">
        <v>27</v>
      </c>
      <c r="D22" s="55">
        <v>5</v>
      </c>
      <c r="E22" s="67"/>
      <c r="F22" s="68" t="s">
        <v>28</v>
      </c>
      <c r="G22" s="69">
        <v>5</v>
      </c>
      <c r="M22" s="35" t="s">
        <v>29</v>
      </c>
      <c r="N22" s="35">
        <v>20</v>
      </c>
    </row>
    <row r="23" spans="1:14" ht="30" customHeight="1" x14ac:dyDescent="0.35">
      <c r="A23" s="28">
        <f>A22+1</f>
        <v>2</v>
      </c>
      <c r="B23" s="148"/>
      <c r="C23" s="30" t="s">
        <v>30</v>
      </c>
      <c r="D23" s="21">
        <v>4</v>
      </c>
      <c r="E23" s="67"/>
      <c r="F23" s="70" t="s">
        <v>31</v>
      </c>
      <c r="G23" s="71">
        <v>4</v>
      </c>
      <c r="M23" s="35" t="s">
        <v>32</v>
      </c>
      <c r="N23" s="35">
        <v>20</v>
      </c>
    </row>
    <row r="24" spans="1:14" ht="30" customHeight="1" x14ac:dyDescent="0.35">
      <c r="A24" s="28">
        <f>A23+1</f>
        <v>3</v>
      </c>
      <c r="B24" s="148"/>
      <c r="C24" s="30" t="s">
        <v>33</v>
      </c>
      <c r="D24" s="21">
        <v>5</v>
      </c>
      <c r="E24" s="67"/>
      <c r="F24" s="72" t="s">
        <v>34</v>
      </c>
      <c r="G24" s="73">
        <v>3</v>
      </c>
      <c r="M24" s="35" t="s">
        <v>35</v>
      </c>
      <c r="N24" s="35">
        <v>20</v>
      </c>
    </row>
    <row r="25" spans="1:14" ht="30" customHeight="1" x14ac:dyDescent="0.35">
      <c r="A25" s="28">
        <f>A24+1</f>
        <v>4</v>
      </c>
      <c r="B25" s="148"/>
      <c r="C25" s="52" t="s">
        <v>36</v>
      </c>
      <c r="D25" s="21">
        <v>4</v>
      </c>
      <c r="E25" s="67"/>
      <c r="F25" s="74" t="s">
        <v>37</v>
      </c>
      <c r="G25" s="75">
        <v>2</v>
      </c>
      <c r="M25" s="35" t="s">
        <v>38</v>
      </c>
      <c r="N25" s="35">
        <v>20</v>
      </c>
    </row>
    <row r="26" spans="1:14" ht="30" customHeight="1" thickBot="1" x14ac:dyDescent="0.4">
      <c r="A26" s="28">
        <f>A25+1</f>
        <v>5</v>
      </c>
      <c r="B26" s="148"/>
      <c r="C26" s="30" t="s">
        <v>39</v>
      </c>
      <c r="D26" s="56">
        <v>4</v>
      </c>
      <c r="E26" s="67"/>
      <c r="F26" s="76" t="s">
        <v>40</v>
      </c>
      <c r="G26" s="77">
        <v>1</v>
      </c>
      <c r="M26" s="35" t="s">
        <v>19</v>
      </c>
      <c r="N26" s="35">
        <v>100</v>
      </c>
    </row>
    <row r="27" spans="1:14" ht="25" customHeight="1" x14ac:dyDescent="0.35">
      <c r="A27" s="138"/>
      <c r="B27" s="148"/>
      <c r="C27" s="18" t="s">
        <v>41</v>
      </c>
      <c r="D27" s="22">
        <f>SUM(D22:D26)</f>
        <v>22</v>
      </c>
      <c r="E27" s="67"/>
      <c r="F27" s="184"/>
      <c r="G27" s="185"/>
    </row>
    <row r="28" spans="1:14" ht="25" customHeight="1" x14ac:dyDescent="0.35">
      <c r="A28" s="139"/>
      <c r="B28" s="148"/>
      <c r="C28" s="18" t="s">
        <v>42</v>
      </c>
      <c r="D28" s="54">
        <f>COUNT(A22:A26)*$G$22</f>
        <v>25</v>
      </c>
      <c r="E28" s="67"/>
      <c r="F28" s="186"/>
      <c r="G28" s="187"/>
    </row>
    <row r="29" spans="1:14" ht="25" customHeight="1" thickBot="1" x14ac:dyDescent="0.4">
      <c r="A29" s="140"/>
      <c r="B29" s="149"/>
      <c r="C29" s="19" t="s">
        <v>26</v>
      </c>
      <c r="D29" s="23">
        <f>D27/D28</f>
        <v>0.88</v>
      </c>
      <c r="E29" s="67"/>
      <c r="F29" s="186"/>
      <c r="G29" s="187"/>
    </row>
    <row r="30" spans="1:14" ht="18.75" customHeight="1" x14ac:dyDescent="0.35">
      <c r="A30" s="150">
        <f>A26+1</f>
        <v>6</v>
      </c>
      <c r="B30" s="147" t="s">
        <v>43</v>
      </c>
      <c r="C30" s="160" t="s">
        <v>44</v>
      </c>
      <c r="D30" s="152">
        <v>4</v>
      </c>
      <c r="E30" s="78"/>
      <c r="F30" s="186"/>
      <c r="G30" s="187"/>
    </row>
    <row r="31" spans="1:14" ht="18.75" customHeight="1" x14ac:dyDescent="0.35">
      <c r="A31" s="151"/>
      <c r="B31" s="148"/>
      <c r="C31" s="156"/>
      <c r="D31" s="153"/>
      <c r="E31" s="78"/>
      <c r="F31" s="186"/>
      <c r="G31" s="187"/>
    </row>
    <row r="32" spans="1:14" ht="36.75" customHeight="1" x14ac:dyDescent="0.35">
      <c r="A32" s="28">
        <f>A30+1</f>
        <v>7</v>
      </c>
      <c r="B32" s="148"/>
      <c r="C32" s="29" t="s">
        <v>45</v>
      </c>
      <c r="D32" s="21">
        <v>4</v>
      </c>
      <c r="E32" s="78"/>
      <c r="F32" s="186"/>
      <c r="G32" s="187"/>
    </row>
    <row r="33" spans="1:7" ht="36.75" customHeight="1" x14ac:dyDescent="0.35">
      <c r="A33" s="28">
        <f t="shared" ref="A33:A34" si="0">A32+1</f>
        <v>8</v>
      </c>
      <c r="B33" s="148"/>
      <c r="C33" s="29" t="s">
        <v>46</v>
      </c>
      <c r="D33" s="21">
        <v>4</v>
      </c>
      <c r="E33" s="78"/>
      <c r="F33" s="186"/>
      <c r="G33" s="187"/>
    </row>
    <row r="34" spans="1:7" ht="35.25" customHeight="1" x14ac:dyDescent="0.35">
      <c r="A34" s="28">
        <f t="shared" si="0"/>
        <v>9</v>
      </c>
      <c r="B34" s="148"/>
      <c r="C34" s="29" t="s">
        <v>47</v>
      </c>
      <c r="D34" s="21">
        <v>4</v>
      </c>
      <c r="E34" s="78"/>
      <c r="F34" s="186"/>
      <c r="G34" s="187"/>
    </row>
    <row r="35" spans="1:7" ht="25" customHeight="1" x14ac:dyDescent="0.35">
      <c r="A35" s="138"/>
      <c r="B35" s="148"/>
      <c r="C35" s="18" t="s">
        <v>41</v>
      </c>
      <c r="D35" s="22">
        <f>SUM(D30:D34)</f>
        <v>16</v>
      </c>
      <c r="E35" s="78"/>
      <c r="F35" s="186"/>
      <c r="G35" s="187"/>
    </row>
    <row r="36" spans="1:7" ht="25" customHeight="1" x14ac:dyDescent="0.35">
      <c r="A36" s="139"/>
      <c r="B36" s="148"/>
      <c r="C36" s="18" t="s">
        <v>42</v>
      </c>
      <c r="D36" s="22">
        <f>COUNT(A30:A34)*$G$22</f>
        <v>20</v>
      </c>
      <c r="E36" s="78"/>
      <c r="F36" s="186"/>
      <c r="G36" s="187"/>
    </row>
    <row r="37" spans="1:7" ht="25" customHeight="1" thickBot="1" x14ac:dyDescent="0.4">
      <c r="A37" s="140"/>
      <c r="B37" s="149"/>
      <c r="C37" s="19" t="s">
        <v>43</v>
      </c>
      <c r="D37" s="23">
        <f>D35/D36</f>
        <v>0.8</v>
      </c>
      <c r="E37" s="78"/>
      <c r="F37" s="186"/>
      <c r="G37" s="187"/>
    </row>
    <row r="38" spans="1:7" ht="24" customHeight="1" x14ac:dyDescent="0.35">
      <c r="A38" s="27">
        <f>A34+1</f>
        <v>10</v>
      </c>
      <c r="B38" s="147" t="s">
        <v>48</v>
      </c>
      <c r="C38" s="29" t="s">
        <v>49</v>
      </c>
      <c r="D38" s="21">
        <v>3</v>
      </c>
      <c r="E38" s="78"/>
      <c r="F38" s="186"/>
      <c r="G38" s="187"/>
    </row>
    <row r="39" spans="1:7" ht="24" customHeight="1" x14ac:dyDescent="0.35">
      <c r="A39" s="28">
        <f t="shared" ref="A39:A40" si="1">A38+1</f>
        <v>11</v>
      </c>
      <c r="B39" s="148"/>
      <c r="C39" s="52" t="s">
        <v>50</v>
      </c>
      <c r="D39" s="21">
        <v>3</v>
      </c>
      <c r="E39" s="78"/>
      <c r="F39" s="186"/>
      <c r="G39" s="187"/>
    </row>
    <row r="40" spans="1:7" ht="13.5" customHeight="1" x14ac:dyDescent="0.35">
      <c r="A40" s="138">
        <f t="shared" si="1"/>
        <v>12</v>
      </c>
      <c r="B40" s="148"/>
      <c r="C40" s="154" t="s">
        <v>51</v>
      </c>
      <c r="D40" s="157">
        <v>3</v>
      </c>
      <c r="E40" s="78"/>
      <c r="F40" s="186"/>
      <c r="G40" s="187"/>
    </row>
    <row r="41" spans="1:7" ht="13.5" customHeight="1" x14ac:dyDescent="0.35">
      <c r="A41" s="139"/>
      <c r="B41" s="148"/>
      <c r="C41" s="155"/>
      <c r="D41" s="158"/>
      <c r="E41" s="78"/>
      <c r="F41" s="186"/>
      <c r="G41" s="187"/>
    </row>
    <row r="42" spans="1:7" ht="13.5" customHeight="1" x14ac:dyDescent="0.35">
      <c r="A42" s="151"/>
      <c r="B42" s="148"/>
      <c r="C42" s="156"/>
      <c r="D42" s="153"/>
      <c r="E42" s="78"/>
      <c r="F42" s="186"/>
      <c r="G42" s="187"/>
    </row>
    <row r="43" spans="1:7" ht="25" customHeight="1" x14ac:dyDescent="0.35">
      <c r="A43" s="138"/>
      <c r="B43" s="148"/>
      <c r="C43" s="18" t="s">
        <v>41</v>
      </c>
      <c r="D43" s="22">
        <f>SUM(D38:D42)</f>
        <v>9</v>
      </c>
      <c r="E43" s="78"/>
      <c r="F43" s="186"/>
      <c r="G43" s="187"/>
    </row>
    <row r="44" spans="1:7" ht="25" customHeight="1" x14ac:dyDescent="0.35">
      <c r="A44" s="139"/>
      <c r="B44" s="148"/>
      <c r="C44" s="18" t="s">
        <v>42</v>
      </c>
      <c r="D44" s="22">
        <f>COUNT(A38:A42)*$G$22</f>
        <v>15</v>
      </c>
      <c r="E44" s="78"/>
      <c r="F44" s="186"/>
      <c r="G44" s="187"/>
    </row>
    <row r="45" spans="1:7" ht="25" customHeight="1" thickBot="1" x14ac:dyDescent="0.4">
      <c r="A45" s="140"/>
      <c r="B45" s="149"/>
      <c r="C45" s="19" t="s">
        <v>52</v>
      </c>
      <c r="D45" s="23">
        <f>D43/D44</f>
        <v>0.6</v>
      </c>
      <c r="E45" s="78"/>
      <c r="F45" s="186"/>
      <c r="G45" s="187"/>
    </row>
    <row r="46" spans="1:7" ht="23.25" customHeight="1" x14ac:dyDescent="0.35">
      <c r="A46" s="27">
        <f>A40+1</f>
        <v>13</v>
      </c>
      <c r="B46" s="147" t="s">
        <v>53</v>
      </c>
      <c r="C46" s="53" t="s">
        <v>54</v>
      </c>
      <c r="D46" s="21">
        <v>5</v>
      </c>
      <c r="E46" s="78"/>
      <c r="F46" s="186"/>
      <c r="G46" s="187"/>
    </row>
    <row r="47" spans="1:7" ht="23.25" customHeight="1" x14ac:dyDescent="0.35">
      <c r="A47" s="28">
        <f t="shared" ref="A47:A50" si="2">A46+1</f>
        <v>14</v>
      </c>
      <c r="B47" s="148"/>
      <c r="C47" s="30" t="s">
        <v>55</v>
      </c>
      <c r="D47" s="21">
        <v>5</v>
      </c>
      <c r="E47" s="78"/>
      <c r="F47" s="186"/>
      <c r="G47" s="187"/>
    </row>
    <row r="48" spans="1:7" ht="23.25" customHeight="1" x14ac:dyDescent="0.35">
      <c r="A48" s="28">
        <f t="shared" si="2"/>
        <v>15</v>
      </c>
      <c r="B48" s="148"/>
      <c r="C48" s="30" t="s">
        <v>56</v>
      </c>
      <c r="D48" s="21">
        <v>5</v>
      </c>
      <c r="E48" s="78"/>
      <c r="F48" s="186"/>
      <c r="G48" s="187"/>
    </row>
    <row r="49" spans="1:14" ht="23.25" customHeight="1" x14ac:dyDescent="0.35">
      <c r="A49" s="28">
        <f t="shared" si="2"/>
        <v>16</v>
      </c>
      <c r="B49" s="148"/>
      <c r="C49" s="30" t="s">
        <v>57</v>
      </c>
      <c r="D49" s="21">
        <v>5</v>
      </c>
      <c r="E49" s="78"/>
      <c r="F49" s="186"/>
      <c r="G49" s="187"/>
    </row>
    <row r="50" spans="1:14" ht="23.25" customHeight="1" x14ac:dyDescent="0.35">
      <c r="A50" s="28">
        <f t="shared" si="2"/>
        <v>17</v>
      </c>
      <c r="B50" s="148"/>
      <c r="C50" s="30" t="s">
        <v>58</v>
      </c>
      <c r="D50" s="21">
        <v>5</v>
      </c>
      <c r="E50" s="78"/>
      <c r="F50" s="186"/>
      <c r="G50" s="187"/>
    </row>
    <row r="51" spans="1:14" ht="25" customHeight="1" x14ac:dyDescent="0.35">
      <c r="A51" s="138"/>
      <c r="B51" s="148"/>
      <c r="C51" s="18" t="s">
        <v>41</v>
      </c>
      <c r="D51" s="22">
        <f>SUM(D46:D50)</f>
        <v>25</v>
      </c>
      <c r="E51" s="78"/>
      <c r="F51" s="186"/>
      <c r="G51" s="187"/>
    </row>
    <row r="52" spans="1:14" ht="25" customHeight="1" x14ac:dyDescent="0.35">
      <c r="A52" s="139"/>
      <c r="B52" s="148"/>
      <c r="C52" s="18" t="s">
        <v>42</v>
      </c>
      <c r="D52" s="22">
        <f>COUNT(A46:A50)*$G$22</f>
        <v>25</v>
      </c>
      <c r="E52" s="78"/>
      <c r="F52" s="186"/>
      <c r="G52" s="187"/>
    </row>
    <row r="53" spans="1:14" ht="25" customHeight="1" thickBot="1" x14ac:dyDescent="0.4">
      <c r="A53" s="140"/>
      <c r="B53" s="149"/>
      <c r="C53" s="19" t="s">
        <v>12</v>
      </c>
      <c r="D53" s="23">
        <f>D51/D52</f>
        <v>1</v>
      </c>
      <c r="E53" s="78"/>
      <c r="F53" s="186"/>
      <c r="G53" s="187"/>
    </row>
    <row r="54" spans="1:14" ht="15.75" customHeight="1" x14ac:dyDescent="0.35">
      <c r="A54" s="141"/>
      <c r="B54" s="142"/>
      <c r="C54" s="79" t="s">
        <v>59</v>
      </c>
      <c r="D54" s="80">
        <f>D27+D35+D43+D51</f>
        <v>72</v>
      </c>
      <c r="E54" s="78"/>
      <c r="F54" s="186"/>
      <c r="G54" s="187"/>
    </row>
    <row r="55" spans="1:14" ht="15.75" customHeight="1" x14ac:dyDescent="0.35">
      <c r="A55" s="143"/>
      <c r="B55" s="144"/>
      <c r="C55" s="81" t="s">
        <v>60</v>
      </c>
      <c r="D55" s="82">
        <f>+D28+D44+D52+D36</f>
        <v>85</v>
      </c>
      <c r="E55" s="78"/>
      <c r="F55" s="186"/>
      <c r="G55" s="187"/>
    </row>
    <row r="56" spans="1:14" ht="15.75" customHeight="1" thickBot="1" x14ac:dyDescent="0.4">
      <c r="A56" s="145"/>
      <c r="B56" s="146"/>
      <c r="C56" s="48" t="s">
        <v>61</v>
      </c>
      <c r="D56" s="26">
        <f>D54/D55</f>
        <v>0.84705882352941175</v>
      </c>
      <c r="E56" s="83"/>
      <c r="F56" s="188"/>
      <c r="G56" s="189"/>
    </row>
    <row r="57" spans="1:14" ht="15.75" customHeight="1" x14ac:dyDescent="0.35">
      <c r="E57" s="6"/>
      <c r="G57" s="3"/>
    </row>
    <row r="58" spans="1:14" ht="15.75" customHeight="1" x14ac:dyDescent="0.35">
      <c r="E58" s="6"/>
      <c r="G58" s="3"/>
    </row>
    <row r="59" spans="1:14" ht="15" customHeight="1" x14ac:dyDescent="0.35">
      <c r="E59" s="6"/>
      <c r="G59" s="3"/>
    </row>
    <row r="60" spans="1:14" ht="15" customHeight="1" x14ac:dyDescent="0.35">
      <c r="E60" s="6"/>
      <c r="G60" s="3"/>
    </row>
    <row r="61" spans="1:14" ht="15" customHeight="1" x14ac:dyDescent="0.35">
      <c r="E61" s="6"/>
      <c r="G61" s="3"/>
    </row>
    <row r="62" spans="1:14" s="5" customFormat="1" ht="15" customHeight="1" x14ac:dyDescent="0.35">
      <c r="A62" s="3"/>
      <c r="B62" s="3"/>
      <c r="C62" s="3"/>
      <c r="D62" s="6"/>
      <c r="E62" s="6"/>
      <c r="F62" s="3"/>
      <c r="G62" s="3"/>
      <c r="M62" s="40"/>
      <c r="N62" s="40"/>
    </row>
    <row r="63" spans="1:14" ht="15" customHeight="1" x14ac:dyDescent="0.35">
      <c r="E63" s="6"/>
      <c r="G63" s="3"/>
    </row>
    <row r="64" spans="1:14" s="2" customFormat="1" ht="15.5" x14ac:dyDescent="0.35">
      <c r="A64" s="3"/>
      <c r="B64" s="3"/>
      <c r="C64" s="3"/>
      <c r="D64" s="6"/>
      <c r="E64" s="6"/>
      <c r="F64" s="3"/>
      <c r="G64" s="3"/>
      <c r="I64" s="50"/>
      <c r="J64" s="50"/>
      <c r="K64" s="50"/>
      <c r="L64" s="50"/>
      <c r="M64" s="39"/>
      <c r="N64" s="39"/>
    </row>
    <row r="66" spans="7:7" x14ac:dyDescent="0.35">
      <c r="G66" s="7"/>
    </row>
    <row r="67" spans="7:7" x14ac:dyDescent="0.35">
      <c r="G67" s="7"/>
    </row>
    <row r="68" spans="7:7" x14ac:dyDescent="0.35">
      <c r="G68" s="7"/>
    </row>
    <row r="69" spans="7:7" x14ac:dyDescent="0.35">
      <c r="G69" s="7"/>
    </row>
  </sheetData>
  <mergeCells count="25">
    <mergeCell ref="B46:B53"/>
    <mergeCell ref="A51:A53"/>
    <mergeCell ref="A7:G20"/>
    <mergeCell ref="F21:G21"/>
    <mergeCell ref="B22:B29"/>
    <mergeCell ref="A27:A29"/>
    <mergeCell ref="F27:G56"/>
    <mergeCell ref="A30:A31"/>
    <mergeCell ref="B30:B37"/>
    <mergeCell ref="C30:C31"/>
    <mergeCell ref="D30:D31"/>
    <mergeCell ref="A35:A37"/>
    <mergeCell ref="A54:B56"/>
    <mergeCell ref="B38:B45"/>
    <mergeCell ref="A40:A42"/>
    <mergeCell ref="C40:C42"/>
    <mergeCell ref="D40:D42"/>
    <mergeCell ref="A43:A45"/>
    <mergeCell ref="A1:G1"/>
    <mergeCell ref="A2:B2"/>
    <mergeCell ref="D2:G6"/>
    <mergeCell ref="A3:B3"/>
    <mergeCell ref="A4:B4"/>
    <mergeCell ref="A5:B5"/>
    <mergeCell ref="A6:B6"/>
  </mergeCells>
  <conditionalFormatting sqref="D22:D26 D30 D32:D34">
    <cfRule type="cellIs" dxfId="107" priority="13" operator="equal">
      <formula>1</formula>
    </cfRule>
    <cfRule type="cellIs" dxfId="106" priority="14" operator="equal">
      <formula>2</formula>
    </cfRule>
    <cfRule type="cellIs" dxfId="105" priority="15" operator="equal">
      <formula>3</formula>
    </cfRule>
    <cfRule type="cellIs" dxfId="104" priority="16" operator="equal">
      <formula>4</formula>
    </cfRule>
    <cfRule type="cellIs" dxfId="103" priority="17" operator="equal">
      <formula>5</formula>
    </cfRule>
    <cfRule type="containsBlanks" dxfId="102" priority="18">
      <formula>LEN(TRIM(D22))=0</formula>
    </cfRule>
  </conditionalFormatting>
  <conditionalFormatting sqref="D38:D40">
    <cfRule type="cellIs" dxfId="101" priority="7" operator="equal">
      <formula>1</formula>
    </cfRule>
    <cfRule type="cellIs" dxfId="100" priority="8" operator="equal">
      <formula>2</formula>
    </cfRule>
    <cfRule type="cellIs" dxfId="99" priority="9" operator="equal">
      <formula>3</formula>
    </cfRule>
    <cfRule type="cellIs" dxfId="98" priority="10" operator="equal">
      <formula>4</formula>
    </cfRule>
    <cfRule type="cellIs" dxfId="97" priority="11" operator="equal">
      <formula>5</formula>
    </cfRule>
    <cfRule type="containsBlanks" dxfId="96" priority="12">
      <formula>LEN(TRIM(D38))=0</formula>
    </cfRule>
  </conditionalFormatting>
  <conditionalFormatting sqref="D46:D50">
    <cfRule type="cellIs" dxfId="95" priority="1" operator="equal">
      <formula>1</formula>
    </cfRule>
    <cfRule type="cellIs" dxfId="94" priority="2" operator="equal">
      <formula>2</formula>
    </cfRule>
    <cfRule type="cellIs" dxfId="93" priority="3" operator="equal">
      <formula>3</formula>
    </cfRule>
    <cfRule type="cellIs" dxfId="92" priority="4" operator="equal">
      <formula>4</formula>
    </cfRule>
    <cfRule type="cellIs" dxfId="91" priority="5" operator="equal">
      <formula>5</formula>
    </cfRule>
    <cfRule type="containsBlanks" dxfId="90" priority="6">
      <formula>LEN(TRIM(D46))=0</formula>
    </cfRule>
  </conditionalFormatting>
  <dataValidations count="1">
    <dataValidation type="list" allowBlank="1" showInputMessage="1" showErrorMessage="1" sqref="D22:D26 D46:D50 D38:D40 D30 D32:D34" xr:uid="{00000000-0002-0000-0400-000000000000}">
      <formula1>$G$22:$G$26</formula1>
    </dataValidation>
  </dataValidations>
  <printOptions horizontalCentered="1"/>
  <pageMargins left="0" right="0" top="7.874015748031496E-2" bottom="0" header="0" footer="0"/>
  <pageSetup paperSize="9"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6"/>
  <sheetViews>
    <sheetView workbookViewId="0">
      <selection activeCell="D12" sqref="D12"/>
    </sheetView>
  </sheetViews>
  <sheetFormatPr defaultRowHeight="14.5" x14ac:dyDescent="0.35"/>
  <cols>
    <col min="2" max="2" width="18.453125" bestFit="1" customWidth="1"/>
    <col min="4" max="4" width="52.453125" bestFit="1" customWidth="1"/>
  </cols>
  <sheetData>
    <row r="1" spans="2:4" ht="16" thickBot="1" x14ac:dyDescent="0.4">
      <c r="B1" s="182" t="s">
        <v>24</v>
      </c>
      <c r="C1" s="183"/>
      <c r="D1" s="57" t="s">
        <v>62</v>
      </c>
    </row>
    <row r="2" spans="2:4" ht="15.5" x14ac:dyDescent="0.35">
      <c r="B2" s="68" t="s">
        <v>28</v>
      </c>
      <c r="C2" s="84">
        <v>5</v>
      </c>
      <c r="D2" s="85" t="s">
        <v>63</v>
      </c>
    </row>
    <row r="3" spans="2:4" ht="15.5" x14ac:dyDescent="0.35">
      <c r="B3" s="70" t="s">
        <v>31</v>
      </c>
      <c r="C3" s="86">
        <v>4</v>
      </c>
      <c r="D3" s="87" t="s">
        <v>64</v>
      </c>
    </row>
    <row r="4" spans="2:4" ht="31" x14ac:dyDescent="0.35">
      <c r="B4" s="72" t="s">
        <v>34</v>
      </c>
      <c r="C4" s="88">
        <v>3</v>
      </c>
      <c r="D4" s="87" t="s">
        <v>65</v>
      </c>
    </row>
    <row r="5" spans="2:4" ht="15.5" x14ac:dyDescent="0.35">
      <c r="B5" s="74" t="s">
        <v>37</v>
      </c>
      <c r="C5" s="89">
        <v>2</v>
      </c>
      <c r="D5" s="87" t="s">
        <v>66</v>
      </c>
    </row>
    <row r="6" spans="2:4" ht="16" thickBot="1" x14ac:dyDescent="0.4">
      <c r="B6" s="90" t="s">
        <v>40</v>
      </c>
      <c r="C6" s="91">
        <v>1</v>
      </c>
      <c r="D6" s="92" t="s">
        <v>67</v>
      </c>
    </row>
  </sheetData>
  <mergeCells count="1">
    <mergeCell ref="B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69"/>
  <sheetViews>
    <sheetView zoomScaleNormal="100" workbookViewId="0">
      <selection sqref="A1:G1"/>
    </sheetView>
  </sheetViews>
  <sheetFormatPr defaultColWidth="8.81640625" defaultRowHeight="14.5" x14ac:dyDescent="0.35"/>
  <cols>
    <col min="1" max="1" width="9.7265625" style="3" customWidth="1"/>
    <col min="2" max="2" width="14.7265625" style="3" customWidth="1"/>
    <col min="3" max="3" width="72.7265625" style="3" customWidth="1"/>
    <col min="4" max="4" width="9.7265625" style="6" customWidth="1"/>
    <col min="5" max="5" width="2.26953125" style="3" customWidth="1"/>
    <col min="6" max="6" width="18.7265625" style="3" customWidth="1"/>
    <col min="7" max="7" width="5.7265625" style="6" customWidth="1"/>
    <col min="8" max="12" width="8.81640625" style="3"/>
    <col min="13" max="14" width="8.81640625" style="40"/>
    <col min="15" max="16384" width="8.81640625" style="3"/>
  </cols>
  <sheetData>
    <row r="1" spans="1:14" s="1" customFormat="1" ht="34" thickBot="1" x14ac:dyDescent="0.4">
      <c r="A1" s="200" t="s">
        <v>0</v>
      </c>
      <c r="B1" s="201"/>
      <c r="C1" s="201"/>
      <c r="D1" s="201"/>
      <c r="E1" s="201"/>
      <c r="F1" s="201"/>
      <c r="G1" s="202"/>
      <c r="M1" s="38"/>
      <c r="N1" s="38"/>
    </row>
    <row r="2" spans="1:14" s="2" customFormat="1" ht="17" x14ac:dyDescent="0.35">
      <c r="A2" s="203" t="s">
        <v>1</v>
      </c>
      <c r="B2" s="204"/>
      <c r="C2" s="8" t="str">
        <f>'T &amp; M (WS1)'!C2</f>
        <v>iD Fresh Food India Pvt Ltd</v>
      </c>
      <c r="D2" s="164"/>
      <c r="E2" s="165"/>
      <c r="F2" s="165"/>
      <c r="G2" s="166"/>
      <c r="M2" s="39"/>
      <c r="N2" s="39"/>
    </row>
    <row r="3" spans="1:14" s="2" customFormat="1" ht="17" x14ac:dyDescent="0.35">
      <c r="A3" s="205" t="s">
        <v>14</v>
      </c>
      <c r="B3" s="206"/>
      <c r="C3" s="9">
        <v>10</v>
      </c>
      <c r="D3" s="167"/>
      <c r="E3" s="168"/>
      <c r="F3" s="168"/>
      <c r="G3" s="169"/>
      <c r="M3" s="39"/>
      <c r="N3" s="39"/>
    </row>
    <row r="4" spans="1:14" s="2" customFormat="1" ht="17" x14ac:dyDescent="0.35">
      <c r="A4" s="205" t="s">
        <v>2</v>
      </c>
      <c r="B4" s="206"/>
      <c r="C4" s="9" t="s">
        <v>68</v>
      </c>
      <c r="D4" s="167"/>
      <c r="E4" s="168"/>
      <c r="F4" s="168"/>
      <c r="G4" s="169"/>
      <c r="M4" s="39"/>
      <c r="N4" s="39"/>
    </row>
    <row r="5" spans="1:14" s="2" customFormat="1" ht="17" x14ac:dyDescent="0.35">
      <c r="A5" s="205" t="s">
        <v>3</v>
      </c>
      <c r="B5" s="206"/>
      <c r="C5" s="9" t="s">
        <v>69</v>
      </c>
      <c r="D5" s="167"/>
      <c r="E5" s="168"/>
      <c r="F5" s="168"/>
      <c r="G5" s="169"/>
      <c r="M5" s="39"/>
      <c r="N5" s="39"/>
    </row>
    <row r="6" spans="1:14" s="2" customFormat="1" ht="17.5" thickBot="1" x14ac:dyDescent="0.4">
      <c r="A6" s="207" t="s">
        <v>15</v>
      </c>
      <c r="B6" s="208"/>
      <c r="C6" s="10" t="s">
        <v>70</v>
      </c>
      <c r="D6" s="170"/>
      <c r="E6" s="171"/>
      <c r="F6" s="171"/>
      <c r="G6" s="172"/>
      <c r="M6" s="39"/>
      <c r="N6" s="39"/>
    </row>
    <row r="7" spans="1:14" x14ac:dyDescent="0.35">
      <c r="A7" s="173"/>
      <c r="B7" s="174"/>
      <c r="C7" s="174"/>
      <c r="D7" s="174"/>
      <c r="E7" s="174"/>
      <c r="F7" s="174"/>
      <c r="G7" s="175"/>
    </row>
    <row r="8" spans="1:14" x14ac:dyDescent="0.35">
      <c r="A8" s="176"/>
      <c r="B8" s="177"/>
      <c r="C8" s="177"/>
      <c r="D8" s="177"/>
      <c r="E8" s="177"/>
      <c r="F8" s="177"/>
      <c r="G8" s="178"/>
    </row>
    <row r="9" spans="1:14" x14ac:dyDescent="0.35">
      <c r="A9" s="176"/>
      <c r="B9" s="177"/>
      <c r="C9" s="177"/>
      <c r="D9" s="177"/>
      <c r="E9" s="177"/>
      <c r="F9" s="177"/>
      <c r="G9" s="178"/>
    </row>
    <row r="10" spans="1:14" x14ac:dyDescent="0.35">
      <c r="A10" s="176"/>
      <c r="B10" s="177"/>
      <c r="C10" s="177"/>
      <c r="D10" s="177"/>
      <c r="E10" s="177"/>
      <c r="F10" s="177"/>
      <c r="G10" s="178"/>
    </row>
    <row r="11" spans="1:14" x14ac:dyDescent="0.35">
      <c r="A11" s="176"/>
      <c r="B11" s="177"/>
      <c r="C11" s="177"/>
      <c r="D11" s="177"/>
      <c r="E11" s="177"/>
      <c r="F11" s="177"/>
      <c r="G11" s="178"/>
    </row>
    <row r="12" spans="1:14" x14ac:dyDescent="0.35">
      <c r="A12" s="176"/>
      <c r="B12" s="177"/>
      <c r="C12" s="177"/>
      <c r="D12" s="177"/>
      <c r="E12" s="177"/>
      <c r="F12" s="177"/>
      <c r="G12" s="178"/>
    </row>
    <row r="13" spans="1:14" x14ac:dyDescent="0.35">
      <c r="A13" s="176"/>
      <c r="B13" s="177"/>
      <c r="C13" s="177"/>
      <c r="D13" s="177"/>
      <c r="E13" s="177"/>
      <c r="F13" s="177"/>
      <c r="G13" s="178"/>
    </row>
    <row r="14" spans="1:14" x14ac:dyDescent="0.35">
      <c r="A14" s="176"/>
      <c r="B14" s="177"/>
      <c r="C14" s="177"/>
      <c r="D14" s="177"/>
      <c r="E14" s="177"/>
      <c r="F14" s="177"/>
      <c r="G14" s="178"/>
    </row>
    <row r="15" spans="1:14" x14ac:dyDescent="0.35">
      <c r="A15" s="176"/>
      <c r="B15" s="177"/>
      <c r="C15" s="177"/>
      <c r="D15" s="177"/>
      <c r="E15" s="177"/>
      <c r="F15" s="177"/>
      <c r="G15" s="178"/>
      <c r="M15" s="35" t="s">
        <v>16</v>
      </c>
      <c r="N15" s="35"/>
    </row>
    <row r="16" spans="1:14" x14ac:dyDescent="0.35">
      <c r="A16" s="176"/>
      <c r="B16" s="177"/>
      <c r="C16" s="177"/>
      <c r="D16" s="177"/>
      <c r="E16" s="177"/>
      <c r="F16" s="177"/>
      <c r="G16" s="178"/>
      <c r="M16" s="35" t="s">
        <v>17</v>
      </c>
      <c r="N16" s="36">
        <f>D64</f>
        <v>0</v>
      </c>
    </row>
    <row r="17" spans="1:14" x14ac:dyDescent="0.35">
      <c r="A17" s="176"/>
      <c r="B17" s="177"/>
      <c r="C17" s="177"/>
      <c r="D17" s="177"/>
      <c r="E17" s="177"/>
      <c r="F17" s="177"/>
      <c r="G17" s="178"/>
      <c r="M17" s="35" t="s">
        <v>18</v>
      </c>
      <c r="N17" s="37">
        <v>0.02</v>
      </c>
    </row>
    <row r="18" spans="1:14" x14ac:dyDescent="0.35">
      <c r="A18" s="176"/>
      <c r="B18" s="177"/>
      <c r="C18" s="177"/>
      <c r="D18" s="177"/>
      <c r="E18" s="177"/>
      <c r="F18" s="177"/>
      <c r="G18" s="178"/>
      <c r="M18" s="35" t="s">
        <v>19</v>
      </c>
      <c r="N18" s="36">
        <f>200%-(N16+N17)</f>
        <v>1.98</v>
      </c>
    </row>
    <row r="19" spans="1:14" x14ac:dyDescent="0.35">
      <c r="A19" s="176"/>
      <c r="B19" s="177"/>
      <c r="C19" s="177"/>
      <c r="D19" s="177"/>
      <c r="E19" s="177"/>
      <c r="F19" s="177"/>
      <c r="G19" s="178"/>
    </row>
    <row r="20" spans="1:14" ht="15" thickBot="1" x14ac:dyDescent="0.4">
      <c r="A20" s="179"/>
      <c r="B20" s="180"/>
      <c r="C20" s="180"/>
      <c r="D20" s="180"/>
      <c r="E20" s="180"/>
      <c r="F20" s="180"/>
      <c r="G20" s="181"/>
      <c r="M20" s="35" t="s">
        <v>20</v>
      </c>
      <c r="N20" s="35"/>
    </row>
    <row r="21" spans="1:14" s="4" customFormat="1" ht="16" thickBot="1" x14ac:dyDescent="0.4">
      <c r="A21" s="11" t="s">
        <v>21</v>
      </c>
      <c r="B21" s="12" t="s">
        <v>7</v>
      </c>
      <c r="C21" s="17" t="s">
        <v>22</v>
      </c>
      <c r="D21" s="20" t="s">
        <v>23</v>
      </c>
      <c r="E21" s="32"/>
      <c r="F21" s="182" t="s">
        <v>24</v>
      </c>
      <c r="G21" s="183"/>
      <c r="M21" s="35" t="s">
        <v>25</v>
      </c>
      <c r="N21" s="35">
        <v>35</v>
      </c>
    </row>
    <row r="22" spans="1:14" ht="15.5" x14ac:dyDescent="0.35">
      <c r="A22" s="27">
        <v>1</v>
      </c>
      <c r="B22" s="148" t="s">
        <v>26</v>
      </c>
      <c r="C22" s="29" t="str">
        <f>'T &amp; M (WS1)'!C22</f>
        <v>Does Top Management review project with consultants?</v>
      </c>
      <c r="D22" s="21"/>
      <c r="E22" s="33"/>
      <c r="F22" s="41" t="s">
        <v>28</v>
      </c>
      <c r="G22" s="13">
        <v>5</v>
      </c>
      <c r="M22" s="35" t="s">
        <v>29</v>
      </c>
      <c r="N22" s="35">
        <v>20</v>
      </c>
    </row>
    <row r="23" spans="1:14" ht="15.5" x14ac:dyDescent="0.35">
      <c r="A23" s="28">
        <f>A22+1</f>
        <v>2</v>
      </c>
      <c r="B23" s="148"/>
      <c r="C23" s="30" t="str">
        <f>'T &amp; M (WS1)'!C23</f>
        <v>Does Top Management visit Gemba on a fortnightly basis?</v>
      </c>
      <c r="D23" s="21"/>
      <c r="E23" s="33"/>
      <c r="F23" s="42" t="s">
        <v>31</v>
      </c>
      <c r="G23" s="14">
        <v>4</v>
      </c>
      <c r="M23" s="35" t="s">
        <v>32</v>
      </c>
      <c r="N23" s="35">
        <v>20</v>
      </c>
    </row>
    <row r="24" spans="1:14" ht="15.5" x14ac:dyDescent="0.35">
      <c r="A24" s="28">
        <f>A23+1</f>
        <v>3</v>
      </c>
      <c r="B24" s="148"/>
      <c r="C24" s="30" t="str">
        <f>'T &amp; M (WS1)'!C24</f>
        <v>Does Top Management attend opening &amp; closing meeting of workshops?</v>
      </c>
      <c r="D24" s="21"/>
      <c r="E24" s="33"/>
      <c r="F24" s="43" t="s">
        <v>34</v>
      </c>
      <c r="G24" s="15">
        <v>3</v>
      </c>
      <c r="M24" s="35" t="s">
        <v>35</v>
      </c>
      <c r="N24" s="35">
        <v>15</v>
      </c>
    </row>
    <row r="25" spans="1:14" ht="31" x14ac:dyDescent="0.35">
      <c r="A25" s="28">
        <f>A24+1</f>
        <v>4</v>
      </c>
      <c r="B25" s="148"/>
      <c r="C25" s="30" t="str">
        <f>'T &amp; M (WS1)'!C25</f>
        <v>Does top management actively communicate the importance of Time &amp; Motion Studies to the organization?</v>
      </c>
      <c r="D25" s="21"/>
      <c r="E25" s="33"/>
      <c r="F25" s="44" t="s">
        <v>37</v>
      </c>
      <c r="G25" s="16">
        <v>2</v>
      </c>
      <c r="M25" s="35" t="s">
        <v>38</v>
      </c>
      <c r="N25" s="35">
        <v>10</v>
      </c>
    </row>
    <row r="26" spans="1:14" ht="16" thickBot="1" x14ac:dyDescent="0.4">
      <c r="A26" s="28">
        <f>A25+1</f>
        <v>5</v>
      </c>
      <c r="B26" s="148"/>
      <c r="C26" s="30" t="str">
        <f>'T &amp; M (WS1)'!C26</f>
        <v>Does Top Management give workshop feedback on time to Quality?</v>
      </c>
      <c r="D26" s="21"/>
      <c r="E26" s="33"/>
      <c r="F26" s="45" t="s">
        <v>40</v>
      </c>
      <c r="G26" s="31">
        <v>1</v>
      </c>
      <c r="M26" s="35" t="s">
        <v>19</v>
      </c>
      <c r="N26" s="35">
        <v>100</v>
      </c>
    </row>
    <row r="27" spans="1:14" ht="15.5" x14ac:dyDescent="0.35">
      <c r="A27" s="138"/>
      <c r="B27" s="148"/>
      <c r="C27" s="18" t="str">
        <f>'T &amp; M (WS1)'!C27</f>
        <v>Total</v>
      </c>
      <c r="D27" s="22">
        <f>SUM(D22:D26)</f>
        <v>0</v>
      </c>
      <c r="E27" s="33"/>
      <c r="F27" s="186"/>
      <c r="G27" s="187"/>
    </row>
    <row r="28" spans="1:14" ht="15.5" x14ac:dyDescent="0.35">
      <c r="A28" s="139"/>
      <c r="B28" s="148"/>
      <c r="C28" s="18" t="str">
        <f>'T &amp; M (WS1)'!C28</f>
        <v>Maximum Score</v>
      </c>
      <c r="D28" s="22">
        <f>COUNT(A22:A26)*$G$22</f>
        <v>25</v>
      </c>
      <c r="E28" s="33"/>
      <c r="F28" s="186"/>
      <c r="G28" s="187"/>
    </row>
    <row r="29" spans="1:14" ht="16" thickBot="1" x14ac:dyDescent="0.4">
      <c r="A29" s="140"/>
      <c r="B29" s="149"/>
      <c r="C29" s="19" t="str">
        <f>'T &amp; M (WS1)'!C29</f>
        <v>Top Management Commitment</v>
      </c>
      <c r="D29" s="23">
        <f>D27/D28</f>
        <v>0</v>
      </c>
      <c r="E29" s="33"/>
      <c r="F29" s="186"/>
      <c r="G29" s="187"/>
    </row>
    <row r="30" spans="1:14" ht="15.5" x14ac:dyDescent="0.35">
      <c r="A30" s="27">
        <f>A26+1</f>
        <v>6</v>
      </c>
      <c r="B30" s="148" t="s">
        <v>71</v>
      </c>
      <c r="C30" s="29" t="e">
        <f>'T &amp; M (WS1)'!#REF!</f>
        <v>#REF!</v>
      </c>
      <c r="D30" s="21"/>
      <c r="E30" s="33"/>
      <c r="F30" s="186"/>
      <c r="G30" s="187"/>
    </row>
    <row r="31" spans="1:14" ht="31" x14ac:dyDescent="0.35">
      <c r="A31" s="28">
        <f t="shared" ref="A31:A34" si="0">A30+1</f>
        <v>7</v>
      </c>
      <c r="B31" s="148"/>
      <c r="C31" s="30" t="str">
        <f>'T &amp; M (WS1)'!C30</f>
        <v>Rate the Departmental Head's accessibility and provision of necessary data on time</v>
      </c>
      <c r="D31" s="21"/>
      <c r="E31" s="33"/>
      <c r="F31" s="186"/>
      <c r="G31" s="187"/>
    </row>
    <row r="32" spans="1:14" ht="31" x14ac:dyDescent="0.35">
      <c r="A32" s="28">
        <f t="shared" si="0"/>
        <v>8</v>
      </c>
      <c r="B32" s="148"/>
      <c r="C32" s="30" t="str">
        <f>'T &amp; M (WS1)'!C32</f>
        <v>The Departmental Head's involvement in addressing challenges related to data availability?</v>
      </c>
      <c r="D32" s="21"/>
      <c r="E32" s="33"/>
      <c r="F32" s="186"/>
      <c r="G32" s="187"/>
    </row>
    <row r="33" spans="1:7" ht="31" x14ac:dyDescent="0.35">
      <c r="A33" s="28">
        <f t="shared" si="0"/>
        <v>9</v>
      </c>
      <c r="B33" s="148"/>
      <c r="C33" s="30" t="str">
        <f>'T &amp; M (WS1)'!C33</f>
        <v>The Departmental Head's support for trying new ways of collecting and analysing data.</v>
      </c>
      <c r="D33" s="21"/>
      <c r="E33" s="33"/>
      <c r="F33" s="186"/>
      <c r="G33" s="187"/>
    </row>
    <row r="34" spans="1:7" ht="31" x14ac:dyDescent="0.35">
      <c r="A34" s="28">
        <f t="shared" si="0"/>
        <v>10</v>
      </c>
      <c r="B34" s="148"/>
      <c r="C34" s="30" t="str">
        <f>'T &amp; M (WS1)'!C34</f>
        <v>The Departmental Head's support in identifying and addressing gaps in data availability</v>
      </c>
      <c r="D34" s="21"/>
      <c r="E34" s="33"/>
      <c r="F34" s="186"/>
      <c r="G34" s="187"/>
    </row>
    <row r="35" spans="1:7" ht="15.5" x14ac:dyDescent="0.35">
      <c r="A35" s="138"/>
      <c r="B35" s="148"/>
      <c r="C35" s="18" t="str">
        <f>'T &amp; M (WS1)'!C35</f>
        <v>Total</v>
      </c>
      <c r="D35" s="22">
        <f>SUM(D30:D34)</f>
        <v>0</v>
      </c>
      <c r="E35" s="33"/>
      <c r="F35" s="186"/>
      <c r="G35" s="187"/>
    </row>
    <row r="36" spans="1:7" ht="15.5" x14ac:dyDescent="0.35">
      <c r="A36" s="139"/>
      <c r="B36" s="148"/>
      <c r="C36" s="18" t="str">
        <f>'T &amp; M (WS1)'!C36</f>
        <v>Maximum Score</v>
      </c>
      <c r="D36" s="22">
        <f>COUNT(A30:A34)*$G$22</f>
        <v>25</v>
      </c>
      <c r="E36" s="33"/>
      <c r="F36" s="186"/>
      <c r="G36" s="187"/>
    </row>
    <row r="37" spans="1:7" ht="16" thickBot="1" x14ac:dyDescent="0.4">
      <c r="A37" s="140"/>
      <c r="B37" s="149"/>
      <c r="C37" s="19" t="str">
        <f>'T &amp; M (WS1)'!C37</f>
        <v>Departmental Heads' Commitment</v>
      </c>
      <c r="D37" s="23">
        <f>D35/D36</f>
        <v>0</v>
      </c>
      <c r="E37" s="33"/>
      <c r="F37" s="186"/>
      <c r="G37" s="187"/>
    </row>
    <row r="38" spans="1:7" ht="15.5" x14ac:dyDescent="0.35">
      <c r="A38" s="27">
        <f>A34+1</f>
        <v>11</v>
      </c>
      <c r="B38" s="148" t="s">
        <v>72</v>
      </c>
      <c r="C38" s="29" t="str">
        <f>'T &amp; M (WS1)'!C38</f>
        <v>Are team members available full time to drive projects during workshop?</v>
      </c>
      <c r="D38" s="21"/>
      <c r="E38" s="33"/>
      <c r="F38" s="186"/>
      <c r="G38" s="187"/>
    </row>
    <row r="39" spans="1:7" ht="15.5" x14ac:dyDescent="0.35">
      <c r="A39" s="28">
        <f t="shared" ref="A39:A42" si="1">A38+1</f>
        <v>12</v>
      </c>
      <c r="B39" s="148"/>
      <c r="C39" s="30" t="str">
        <f>'T &amp; M (WS1)'!C39</f>
        <v>How committed is the project team towards process improvement?</v>
      </c>
      <c r="D39" s="21"/>
      <c r="E39" s="33"/>
      <c r="F39" s="186"/>
      <c r="G39" s="187"/>
    </row>
    <row r="40" spans="1:7" ht="31" x14ac:dyDescent="0.35">
      <c r="A40" s="28">
        <f t="shared" si="1"/>
        <v>13</v>
      </c>
      <c r="B40" s="148"/>
      <c r="C40" s="30" t="str">
        <f>'T &amp; M (WS1)'!C40</f>
        <v>Rate the White Collar Team's proactiveness in seeking additional data or information related to their tasks.</v>
      </c>
      <c r="D40" s="21"/>
      <c r="E40" s="33"/>
      <c r="F40" s="186"/>
      <c r="G40" s="187"/>
    </row>
    <row r="41" spans="1:7" ht="15.5" x14ac:dyDescent="0.35">
      <c r="A41" s="28">
        <f t="shared" si="1"/>
        <v>14</v>
      </c>
      <c r="B41" s="148"/>
      <c r="C41" s="30">
        <f>'T &amp; M (WS1)'!C41</f>
        <v>0</v>
      </c>
      <c r="D41" s="21"/>
      <c r="E41" s="33"/>
      <c r="F41" s="186"/>
      <c r="G41" s="187"/>
    </row>
    <row r="42" spans="1:7" ht="15.5" x14ac:dyDescent="0.35">
      <c r="A42" s="28">
        <f t="shared" si="1"/>
        <v>15</v>
      </c>
      <c r="B42" s="148"/>
      <c r="C42" s="30">
        <f>'T &amp; M (WS1)'!C42</f>
        <v>0</v>
      </c>
      <c r="D42" s="21"/>
      <c r="E42" s="33"/>
      <c r="F42" s="186"/>
      <c r="G42" s="187"/>
    </row>
    <row r="43" spans="1:7" ht="15.5" x14ac:dyDescent="0.35">
      <c r="A43" s="138"/>
      <c r="B43" s="148"/>
      <c r="C43" s="18" t="str">
        <f>'T &amp; M (WS1)'!C43</f>
        <v>Total</v>
      </c>
      <c r="D43" s="22">
        <f>SUM(D38:D42)</f>
        <v>0</v>
      </c>
      <c r="E43" s="33"/>
      <c r="F43" s="186"/>
      <c r="G43" s="187"/>
    </row>
    <row r="44" spans="1:7" ht="15.5" x14ac:dyDescent="0.35">
      <c r="A44" s="139"/>
      <c r="B44" s="148"/>
      <c r="C44" s="18" t="str">
        <f>'T &amp; M (WS1)'!C44</f>
        <v>Maximum Score</v>
      </c>
      <c r="D44" s="22">
        <f>COUNT(A38:A42)*$G$22</f>
        <v>25</v>
      </c>
      <c r="E44" s="33"/>
      <c r="F44" s="186"/>
      <c r="G44" s="187"/>
    </row>
    <row r="45" spans="1:7" ht="16" thickBot="1" x14ac:dyDescent="0.4">
      <c r="A45" s="140"/>
      <c r="B45" s="149"/>
      <c r="C45" s="19" t="str">
        <f>'T &amp; M (WS1)'!C45</f>
        <v>Managerial Team's Commitment</v>
      </c>
      <c r="D45" s="23">
        <f>D43/D44</f>
        <v>0</v>
      </c>
      <c r="E45" s="33"/>
      <c r="F45" s="186"/>
      <c r="G45" s="187"/>
    </row>
    <row r="46" spans="1:7" ht="15.5" x14ac:dyDescent="0.35">
      <c r="A46" s="27">
        <f>A42+1</f>
        <v>16</v>
      </c>
      <c r="B46" s="148" t="s">
        <v>73</v>
      </c>
      <c r="C46" s="29" t="str">
        <f>'T &amp; M (WS1)'!C46</f>
        <v>Are travel arrangements done in convenient manner?</v>
      </c>
      <c r="D46" s="21"/>
      <c r="E46" s="33"/>
      <c r="F46" s="186"/>
      <c r="G46" s="187"/>
    </row>
    <row r="47" spans="1:7" ht="15.5" x14ac:dyDescent="0.35">
      <c r="A47" s="28">
        <f t="shared" ref="A47:A50" si="2">A46+1</f>
        <v>17</v>
      </c>
      <c r="B47" s="148"/>
      <c r="C47" s="30" t="str">
        <f>'T &amp; M (WS1)'!C47</f>
        <v>Is client team supporting Faber Travel desk on time?</v>
      </c>
      <c r="D47" s="21"/>
      <c r="E47" s="33"/>
      <c r="F47" s="186"/>
      <c r="G47" s="187"/>
    </row>
    <row r="48" spans="1:7" ht="15.5" x14ac:dyDescent="0.35">
      <c r="A48" s="28">
        <f t="shared" si="2"/>
        <v>18</v>
      </c>
      <c r="B48" s="148"/>
      <c r="C48" s="30" t="str">
        <f>'T &amp; M (WS1)'!C48</f>
        <v>Is dedicated workstation given to consulting team?</v>
      </c>
      <c r="D48" s="21"/>
      <c r="E48" s="33"/>
      <c r="F48" s="186"/>
      <c r="G48" s="187"/>
    </row>
    <row r="49" spans="1:14" ht="15.5" x14ac:dyDescent="0.35">
      <c r="A49" s="28">
        <f t="shared" si="2"/>
        <v>19</v>
      </c>
      <c r="B49" s="148"/>
      <c r="C49" s="30" t="str">
        <f>'T &amp; M (WS1)'!C49</f>
        <v>Has the team been provided with necessary supplies and internet access?</v>
      </c>
      <c r="D49" s="21"/>
      <c r="E49" s="33"/>
      <c r="F49" s="186"/>
      <c r="G49" s="187"/>
    </row>
    <row r="50" spans="1:14" ht="15.5" x14ac:dyDescent="0.35">
      <c r="A50" s="28">
        <f t="shared" si="2"/>
        <v>20</v>
      </c>
      <c r="B50" s="148"/>
      <c r="C50" s="30" t="str">
        <f>'T &amp; M (WS1)'!C50</f>
        <v>Is accommodation arrangement done properly?</v>
      </c>
      <c r="D50" s="21"/>
      <c r="E50" s="33"/>
      <c r="F50" s="186"/>
      <c r="G50" s="187"/>
    </row>
    <row r="51" spans="1:14" ht="15.5" x14ac:dyDescent="0.35">
      <c r="A51" s="138"/>
      <c r="B51" s="148"/>
      <c r="C51" s="18" t="str">
        <f>'T &amp; M (WS1)'!C51</f>
        <v>Total</v>
      </c>
      <c r="D51" s="22">
        <f>SUM(D46:D50)</f>
        <v>0</v>
      </c>
      <c r="E51" s="33"/>
      <c r="F51" s="186"/>
      <c r="G51" s="187"/>
    </row>
    <row r="52" spans="1:14" ht="15.5" x14ac:dyDescent="0.35">
      <c r="A52" s="139"/>
      <c r="B52" s="148"/>
      <c r="C52" s="18" t="str">
        <f>'T &amp; M (WS1)'!C52</f>
        <v>Maximum Score</v>
      </c>
      <c r="D52" s="22">
        <f>COUNT(A46:A50)*$G$22</f>
        <v>25</v>
      </c>
      <c r="E52" s="33"/>
      <c r="F52" s="186"/>
      <c r="G52" s="187"/>
    </row>
    <row r="53" spans="1:14" ht="16" thickBot="1" x14ac:dyDescent="0.4">
      <c r="A53" s="140"/>
      <c r="B53" s="149"/>
      <c r="C53" s="19" t="str">
        <f>'T &amp; M (WS1)'!C53</f>
        <v>Administrative support</v>
      </c>
      <c r="D53" s="23">
        <f>D51/D52</f>
        <v>0</v>
      </c>
      <c r="E53" s="33"/>
      <c r="F53" s="186"/>
      <c r="G53" s="187"/>
    </row>
    <row r="54" spans="1:14" ht="15.75" customHeight="1" x14ac:dyDescent="0.35">
      <c r="A54" s="27">
        <f>A50+1</f>
        <v>21</v>
      </c>
      <c r="B54" s="148" t="s">
        <v>12</v>
      </c>
      <c r="C54" s="29" t="e">
        <f>'T &amp; M (WS1)'!#REF!</f>
        <v>#REF!</v>
      </c>
      <c r="D54" s="21"/>
      <c r="E54" s="33"/>
      <c r="F54" s="186"/>
      <c r="G54" s="187"/>
    </row>
    <row r="55" spans="1:14" ht="15.75" customHeight="1" x14ac:dyDescent="0.35">
      <c r="A55" s="28">
        <f t="shared" ref="A55:A58" si="3">A54+1</f>
        <v>22</v>
      </c>
      <c r="B55" s="148"/>
      <c r="C55" s="30" t="e">
        <f>'T &amp; M (WS1)'!#REF!</f>
        <v>#REF!</v>
      </c>
      <c r="D55" s="21"/>
      <c r="E55" s="33"/>
      <c r="F55" s="186"/>
      <c r="G55" s="187"/>
    </row>
    <row r="56" spans="1:14" ht="15.75" customHeight="1" x14ac:dyDescent="0.35">
      <c r="A56" s="28">
        <f t="shared" si="3"/>
        <v>23</v>
      </c>
      <c r="B56" s="148"/>
      <c r="C56" s="30" t="e">
        <f>'T &amp; M (WS1)'!#REF!</f>
        <v>#REF!</v>
      </c>
      <c r="D56" s="21"/>
      <c r="E56" s="33"/>
      <c r="F56" s="186"/>
      <c r="G56" s="187"/>
    </row>
    <row r="57" spans="1:14" ht="15.75" customHeight="1" x14ac:dyDescent="0.35">
      <c r="A57" s="28">
        <f t="shared" si="3"/>
        <v>24</v>
      </c>
      <c r="B57" s="148"/>
      <c r="C57" s="30" t="e">
        <f>'T &amp; M (WS1)'!#REF!</f>
        <v>#REF!</v>
      </c>
      <c r="D57" s="21"/>
      <c r="E57" s="33"/>
      <c r="F57" s="186"/>
      <c r="G57" s="187"/>
    </row>
    <row r="58" spans="1:14" ht="15.75" customHeight="1" x14ac:dyDescent="0.35">
      <c r="A58" s="28">
        <f t="shared" si="3"/>
        <v>25</v>
      </c>
      <c r="B58" s="148"/>
      <c r="C58" s="30" t="e">
        <f>'T &amp; M (WS1)'!#REF!</f>
        <v>#REF!</v>
      </c>
      <c r="D58" s="21"/>
      <c r="E58" s="33"/>
      <c r="F58" s="186"/>
      <c r="G58" s="187"/>
    </row>
    <row r="59" spans="1:14" ht="15.5" x14ac:dyDescent="0.35">
      <c r="A59" s="138"/>
      <c r="B59" s="148"/>
      <c r="C59" s="18" t="e">
        <f>'T &amp; M (WS1)'!#REF!</f>
        <v>#REF!</v>
      </c>
      <c r="D59" s="22">
        <f>SUM(D54:D58)</f>
        <v>0</v>
      </c>
      <c r="E59" s="33"/>
      <c r="F59" s="186"/>
      <c r="G59" s="187"/>
    </row>
    <row r="60" spans="1:14" ht="15.5" x14ac:dyDescent="0.35">
      <c r="A60" s="139"/>
      <c r="B60" s="148"/>
      <c r="C60" s="18" t="e">
        <f>'T &amp; M (WS1)'!#REF!</f>
        <v>#REF!</v>
      </c>
      <c r="D60" s="22">
        <f>COUNT(A54:A58)*$G$22</f>
        <v>25</v>
      </c>
      <c r="E60" s="33"/>
      <c r="F60" s="186"/>
      <c r="G60" s="187"/>
    </row>
    <row r="61" spans="1:14" ht="16" thickBot="1" x14ac:dyDescent="0.4">
      <c r="A61" s="140"/>
      <c r="B61" s="149"/>
      <c r="C61" s="19" t="e">
        <f>'T &amp; M (WS1)'!#REF!</f>
        <v>#REF!</v>
      </c>
      <c r="D61" s="23">
        <f>D59/D60</f>
        <v>0</v>
      </c>
      <c r="E61" s="33"/>
      <c r="F61" s="186"/>
      <c r="G61" s="187"/>
    </row>
    <row r="62" spans="1:14" s="5" customFormat="1" x14ac:dyDescent="0.35">
      <c r="A62" s="194"/>
      <c r="B62" s="195"/>
      <c r="C62" s="46" t="s">
        <v>59</v>
      </c>
      <c r="D62" s="24">
        <f>D27+D35+D43+D51+D59</f>
        <v>0</v>
      </c>
      <c r="E62" s="33"/>
      <c r="F62" s="186"/>
      <c r="G62" s="187"/>
      <c r="M62" s="40"/>
      <c r="N62" s="40"/>
    </row>
    <row r="63" spans="1:14" x14ac:dyDescent="0.35">
      <c r="A63" s="196"/>
      <c r="B63" s="197"/>
      <c r="C63" s="47" t="s">
        <v>60</v>
      </c>
      <c r="D63" s="25">
        <f>+D28+D44+D52+D60+D36</f>
        <v>125</v>
      </c>
      <c r="E63" s="33"/>
      <c r="F63" s="186"/>
      <c r="G63" s="187"/>
    </row>
    <row r="64" spans="1:14" s="2" customFormat="1" ht="16" thickBot="1" x14ac:dyDescent="0.4">
      <c r="A64" s="198"/>
      <c r="B64" s="199"/>
      <c r="C64" s="48" t="s">
        <v>61</v>
      </c>
      <c r="D64" s="26">
        <f>D62/D63</f>
        <v>0</v>
      </c>
      <c r="E64" s="34"/>
      <c r="F64" s="188"/>
      <c r="G64" s="189"/>
      <c r="M64" s="39"/>
      <c r="N64" s="39"/>
    </row>
    <row r="66" spans="7:7" x14ac:dyDescent="0.35">
      <c r="G66" s="7"/>
    </row>
    <row r="67" spans="7:7" x14ac:dyDescent="0.35">
      <c r="G67" s="7"/>
    </row>
    <row r="68" spans="7:7" x14ac:dyDescent="0.35">
      <c r="G68" s="7"/>
    </row>
    <row r="69" spans="7:7" x14ac:dyDescent="0.35">
      <c r="G69" s="7"/>
    </row>
  </sheetData>
  <mergeCells count="21">
    <mergeCell ref="A1:G1"/>
    <mergeCell ref="A2:B2"/>
    <mergeCell ref="D2:G6"/>
    <mergeCell ref="A3:B3"/>
    <mergeCell ref="A4:B4"/>
    <mergeCell ref="A5:B5"/>
    <mergeCell ref="A6:B6"/>
    <mergeCell ref="A51:A53"/>
    <mergeCell ref="B54:B61"/>
    <mergeCell ref="A59:A61"/>
    <mergeCell ref="A62:B64"/>
    <mergeCell ref="A7:G20"/>
    <mergeCell ref="F21:G21"/>
    <mergeCell ref="B22:B29"/>
    <mergeCell ref="A27:A29"/>
    <mergeCell ref="F27:G64"/>
    <mergeCell ref="B30:B37"/>
    <mergeCell ref="A35:A37"/>
    <mergeCell ref="B38:B45"/>
    <mergeCell ref="A43:A45"/>
    <mergeCell ref="B46:B53"/>
  </mergeCells>
  <conditionalFormatting sqref="D22:D26">
    <cfRule type="cellIs" dxfId="89" priority="25" operator="equal">
      <formula>1</formula>
    </cfRule>
    <cfRule type="cellIs" dxfId="88" priority="26" operator="equal">
      <formula>2</formula>
    </cfRule>
    <cfRule type="cellIs" dxfId="87" priority="27" operator="equal">
      <formula>3</formula>
    </cfRule>
    <cfRule type="cellIs" dxfId="86" priority="28" operator="equal">
      <formula>4</formula>
    </cfRule>
    <cfRule type="cellIs" dxfId="85" priority="29" operator="equal">
      <formula>5</formula>
    </cfRule>
    <cfRule type="containsBlanks" dxfId="84" priority="30">
      <formula>LEN(TRIM(D22))=0</formula>
    </cfRule>
  </conditionalFormatting>
  <conditionalFormatting sqref="D30:D34">
    <cfRule type="cellIs" dxfId="83" priority="19" operator="equal">
      <formula>1</formula>
    </cfRule>
    <cfRule type="cellIs" dxfId="82" priority="20" operator="equal">
      <formula>2</formula>
    </cfRule>
    <cfRule type="cellIs" dxfId="81" priority="21" operator="equal">
      <formula>3</formula>
    </cfRule>
    <cfRule type="cellIs" dxfId="80" priority="22" operator="equal">
      <formula>4</formula>
    </cfRule>
    <cfRule type="cellIs" dxfId="79" priority="23" operator="equal">
      <formula>5</formula>
    </cfRule>
    <cfRule type="containsBlanks" dxfId="78" priority="24">
      <formula>LEN(TRIM(D30))=0</formula>
    </cfRule>
  </conditionalFormatting>
  <conditionalFormatting sqref="D38:D42">
    <cfRule type="cellIs" dxfId="77" priority="13" operator="equal">
      <formula>1</formula>
    </cfRule>
    <cfRule type="cellIs" dxfId="76" priority="14" operator="equal">
      <formula>2</formula>
    </cfRule>
    <cfRule type="cellIs" dxfId="75" priority="15" operator="equal">
      <formula>3</formula>
    </cfRule>
    <cfRule type="cellIs" dxfId="74" priority="16" operator="equal">
      <formula>4</formula>
    </cfRule>
    <cfRule type="cellIs" dxfId="73" priority="17" operator="equal">
      <formula>5</formula>
    </cfRule>
    <cfRule type="containsBlanks" dxfId="72" priority="18">
      <formula>LEN(TRIM(D38))=0</formula>
    </cfRule>
  </conditionalFormatting>
  <conditionalFormatting sqref="D46:D50">
    <cfRule type="cellIs" dxfId="71" priority="7" operator="equal">
      <formula>1</formula>
    </cfRule>
    <cfRule type="cellIs" dxfId="70" priority="8" operator="equal">
      <formula>2</formula>
    </cfRule>
    <cfRule type="cellIs" dxfId="69" priority="9" operator="equal">
      <formula>3</formula>
    </cfRule>
    <cfRule type="cellIs" dxfId="68" priority="10" operator="equal">
      <formula>4</formula>
    </cfRule>
    <cfRule type="cellIs" dxfId="67" priority="11" operator="equal">
      <formula>5</formula>
    </cfRule>
    <cfRule type="containsBlanks" dxfId="66" priority="12">
      <formula>LEN(TRIM(D46))=0</formula>
    </cfRule>
  </conditionalFormatting>
  <conditionalFormatting sqref="D54:D58">
    <cfRule type="cellIs" dxfId="65" priority="1" operator="equal">
      <formula>1</formula>
    </cfRule>
    <cfRule type="cellIs" dxfId="64" priority="2" operator="equal">
      <formula>2</formula>
    </cfRule>
    <cfRule type="cellIs" dxfId="63" priority="3" operator="equal">
      <formula>3</formula>
    </cfRule>
    <cfRule type="cellIs" dxfId="62" priority="4" operator="equal">
      <formula>4</formula>
    </cfRule>
    <cfRule type="cellIs" dxfId="61" priority="5" operator="equal">
      <formula>5</formula>
    </cfRule>
    <cfRule type="containsBlanks" dxfId="60" priority="6">
      <formula>LEN(TRIM(D54))=0</formula>
    </cfRule>
  </conditionalFormatting>
  <dataValidations count="1">
    <dataValidation type="list" allowBlank="1" showInputMessage="1" showErrorMessage="1" sqref="D54:D58 D38:D42 D46:D50 D30:D34 D22:D26" xr:uid="{00000000-0002-0000-0600-000000000000}">
      <formula1>$G$22:$G$26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7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69"/>
  <sheetViews>
    <sheetView zoomScaleNormal="100" workbookViewId="0">
      <selection sqref="A1:G1"/>
    </sheetView>
  </sheetViews>
  <sheetFormatPr defaultColWidth="8.81640625" defaultRowHeight="14.5" x14ac:dyDescent="0.35"/>
  <cols>
    <col min="1" max="1" width="9.7265625" style="3" customWidth="1"/>
    <col min="2" max="2" width="14.7265625" style="3" customWidth="1"/>
    <col min="3" max="3" width="72.7265625" style="3" customWidth="1"/>
    <col min="4" max="4" width="9.7265625" style="6" customWidth="1"/>
    <col min="5" max="5" width="2.26953125" style="3" customWidth="1"/>
    <col min="6" max="6" width="18.7265625" style="3" customWidth="1"/>
    <col min="7" max="7" width="5.7265625" style="6" customWidth="1"/>
    <col min="8" max="12" width="8.81640625" style="3"/>
    <col min="13" max="14" width="8.81640625" style="40"/>
    <col min="15" max="16384" width="8.81640625" style="3"/>
  </cols>
  <sheetData>
    <row r="1" spans="1:14" s="1" customFormat="1" ht="34" thickBot="1" x14ac:dyDescent="0.4">
      <c r="A1" s="200" t="s">
        <v>0</v>
      </c>
      <c r="B1" s="201"/>
      <c r="C1" s="201"/>
      <c r="D1" s="201"/>
      <c r="E1" s="201"/>
      <c r="F1" s="201"/>
      <c r="G1" s="202"/>
      <c r="M1" s="38"/>
      <c r="N1" s="38"/>
    </row>
    <row r="2" spans="1:14" s="2" customFormat="1" ht="17" x14ac:dyDescent="0.35">
      <c r="A2" s="203" t="s">
        <v>1</v>
      </c>
      <c r="B2" s="204"/>
      <c r="C2" s="8" t="str">
        <f>'T &amp; M (WS1)'!C2</f>
        <v>iD Fresh Food India Pvt Ltd</v>
      </c>
      <c r="D2" s="164"/>
      <c r="E2" s="165"/>
      <c r="F2" s="165"/>
      <c r="G2" s="166"/>
      <c r="M2" s="39"/>
      <c r="N2" s="39"/>
    </row>
    <row r="3" spans="1:14" s="2" customFormat="1" ht="17" x14ac:dyDescent="0.35">
      <c r="A3" s="205" t="s">
        <v>14</v>
      </c>
      <c r="B3" s="206"/>
      <c r="C3" s="9">
        <v>11</v>
      </c>
      <c r="D3" s="167"/>
      <c r="E3" s="168"/>
      <c r="F3" s="168"/>
      <c r="G3" s="169"/>
      <c r="M3" s="39"/>
      <c r="N3" s="39"/>
    </row>
    <row r="4" spans="1:14" s="2" customFormat="1" ht="17" x14ac:dyDescent="0.35">
      <c r="A4" s="205" t="s">
        <v>2</v>
      </c>
      <c r="B4" s="206"/>
      <c r="C4" s="9" t="s">
        <v>68</v>
      </c>
      <c r="D4" s="167"/>
      <c r="E4" s="168"/>
      <c r="F4" s="168"/>
      <c r="G4" s="169"/>
      <c r="M4" s="39"/>
      <c r="N4" s="39"/>
    </row>
    <row r="5" spans="1:14" s="2" customFormat="1" ht="17" x14ac:dyDescent="0.35">
      <c r="A5" s="205" t="s">
        <v>3</v>
      </c>
      <c r="B5" s="206"/>
      <c r="C5" s="9" t="s">
        <v>69</v>
      </c>
      <c r="D5" s="167"/>
      <c r="E5" s="168"/>
      <c r="F5" s="168"/>
      <c r="G5" s="169"/>
      <c r="M5" s="39"/>
      <c r="N5" s="39"/>
    </row>
    <row r="6" spans="1:14" s="2" customFormat="1" ht="17.5" thickBot="1" x14ac:dyDescent="0.4">
      <c r="A6" s="207" t="s">
        <v>15</v>
      </c>
      <c r="B6" s="208"/>
      <c r="C6" s="10" t="s">
        <v>70</v>
      </c>
      <c r="D6" s="170"/>
      <c r="E6" s="171"/>
      <c r="F6" s="171"/>
      <c r="G6" s="172"/>
      <c r="M6" s="39"/>
      <c r="N6" s="39"/>
    </row>
    <row r="7" spans="1:14" x14ac:dyDescent="0.35">
      <c r="A7" s="173"/>
      <c r="B7" s="174"/>
      <c r="C7" s="174"/>
      <c r="D7" s="174"/>
      <c r="E7" s="174"/>
      <c r="F7" s="174"/>
      <c r="G7" s="175"/>
    </row>
    <row r="8" spans="1:14" x14ac:dyDescent="0.35">
      <c r="A8" s="176"/>
      <c r="B8" s="177"/>
      <c r="C8" s="177"/>
      <c r="D8" s="177"/>
      <c r="E8" s="177"/>
      <c r="F8" s="177"/>
      <c r="G8" s="178"/>
    </row>
    <row r="9" spans="1:14" x14ac:dyDescent="0.35">
      <c r="A9" s="176"/>
      <c r="B9" s="177"/>
      <c r="C9" s="177"/>
      <c r="D9" s="177"/>
      <c r="E9" s="177"/>
      <c r="F9" s="177"/>
      <c r="G9" s="178"/>
    </row>
    <row r="10" spans="1:14" x14ac:dyDescent="0.35">
      <c r="A10" s="176"/>
      <c r="B10" s="177"/>
      <c r="C10" s="177"/>
      <c r="D10" s="177"/>
      <c r="E10" s="177"/>
      <c r="F10" s="177"/>
      <c r="G10" s="178"/>
    </row>
    <row r="11" spans="1:14" x14ac:dyDescent="0.35">
      <c r="A11" s="176"/>
      <c r="B11" s="177"/>
      <c r="C11" s="177"/>
      <c r="D11" s="177"/>
      <c r="E11" s="177"/>
      <c r="F11" s="177"/>
      <c r="G11" s="178"/>
    </row>
    <row r="12" spans="1:14" x14ac:dyDescent="0.35">
      <c r="A12" s="176"/>
      <c r="B12" s="177"/>
      <c r="C12" s="177"/>
      <c r="D12" s="177"/>
      <c r="E12" s="177"/>
      <c r="F12" s="177"/>
      <c r="G12" s="178"/>
    </row>
    <row r="13" spans="1:14" x14ac:dyDescent="0.35">
      <c r="A13" s="176"/>
      <c r="B13" s="177"/>
      <c r="C13" s="177"/>
      <c r="D13" s="177"/>
      <c r="E13" s="177"/>
      <c r="F13" s="177"/>
      <c r="G13" s="178"/>
    </row>
    <row r="14" spans="1:14" x14ac:dyDescent="0.35">
      <c r="A14" s="176"/>
      <c r="B14" s="177"/>
      <c r="C14" s="177"/>
      <c r="D14" s="177"/>
      <c r="E14" s="177"/>
      <c r="F14" s="177"/>
      <c r="G14" s="178"/>
    </row>
    <row r="15" spans="1:14" x14ac:dyDescent="0.35">
      <c r="A15" s="176"/>
      <c r="B15" s="177"/>
      <c r="C15" s="177"/>
      <c r="D15" s="177"/>
      <c r="E15" s="177"/>
      <c r="F15" s="177"/>
      <c r="G15" s="178"/>
      <c r="M15" s="35" t="s">
        <v>16</v>
      </c>
      <c r="N15" s="35"/>
    </row>
    <row r="16" spans="1:14" x14ac:dyDescent="0.35">
      <c r="A16" s="176"/>
      <c r="B16" s="177"/>
      <c r="C16" s="177"/>
      <c r="D16" s="177"/>
      <c r="E16" s="177"/>
      <c r="F16" s="177"/>
      <c r="G16" s="178"/>
      <c r="M16" s="35" t="s">
        <v>17</v>
      </c>
      <c r="N16" s="36">
        <f>D64</f>
        <v>0</v>
      </c>
    </row>
    <row r="17" spans="1:14" x14ac:dyDescent="0.35">
      <c r="A17" s="176"/>
      <c r="B17" s="177"/>
      <c r="C17" s="177"/>
      <c r="D17" s="177"/>
      <c r="E17" s="177"/>
      <c r="F17" s="177"/>
      <c r="G17" s="178"/>
      <c r="M17" s="35" t="s">
        <v>18</v>
      </c>
      <c r="N17" s="37">
        <v>0.02</v>
      </c>
    </row>
    <row r="18" spans="1:14" x14ac:dyDescent="0.35">
      <c r="A18" s="176"/>
      <c r="B18" s="177"/>
      <c r="C18" s="177"/>
      <c r="D18" s="177"/>
      <c r="E18" s="177"/>
      <c r="F18" s="177"/>
      <c r="G18" s="178"/>
      <c r="M18" s="35" t="s">
        <v>19</v>
      </c>
      <c r="N18" s="36">
        <f>200%-(N16+N17)</f>
        <v>1.98</v>
      </c>
    </row>
    <row r="19" spans="1:14" x14ac:dyDescent="0.35">
      <c r="A19" s="176"/>
      <c r="B19" s="177"/>
      <c r="C19" s="177"/>
      <c r="D19" s="177"/>
      <c r="E19" s="177"/>
      <c r="F19" s="177"/>
      <c r="G19" s="178"/>
    </row>
    <row r="20" spans="1:14" ht="15" thickBot="1" x14ac:dyDescent="0.4">
      <c r="A20" s="179"/>
      <c r="B20" s="180"/>
      <c r="C20" s="180"/>
      <c r="D20" s="180"/>
      <c r="E20" s="180"/>
      <c r="F20" s="180"/>
      <c r="G20" s="181"/>
      <c r="M20" s="35" t="s">
        <v>20</v>
      </c>
      <c r="N20" s="35"/>
    </row>
    <row r="21" spans="1:14" s="4" customFormat="1" ht="16" thickBot="1" x14ac:dyDescent="0.4">
      <c r="A21" s="11" t="s">
        <v>21</v>
      </c>
      <c r="B21" s="12" t="s">
        <v>7</v>
      </c>
      <c r="C21" s="17" t="s">
        <v>22</v>
      </c>
      <c r="D21" s="20" t="s">
        <v>23</v>
      </c>
      <c r="E21" s="32"/>
      <c r="F21" s="182" t="s">
        <v>24</v>
      </c>
      <c r="G21" s="183"/>
      <c r="M21" s="35" t="s">
        <v>25</v>
      </c>
      <c r="N21" s="35">
        <v>35</v>
      </c>
    </row>
    <row r="22" spans="1:14" ht="15.5" x14ac:dyDescent="0.35">
      <c r="A22" s="27">
        <v>1</v>
      </c>
      <c r="B22" s="148" t="s">
        <v>26</v>
      </c>
      <c r="C22" s="29" t="str">
        <f>'T &amp; M (WS1)'!C22</f>
        <v>Does Top Management review project with consultants?</v>
      </c>
      <c r="D22" s="21"/>
      <c r="E22" s="33"/>
      <c r="F22" s="41" t="s">
        <v>28</v>
      </c>
      <c r="G22" s="13">
        <v>5</v>
      </c>
      <c r="M22" s="35" t="s">
        <v>29</v>
      </c>
      <c r="N22" s="35">
        <v>20</v>
      </c>
    </row>
    <row r="23" spans="1:14" ht="15.5" x14ac:dyDescent="0.35">
      <c r="A23" s="28">
        <f>A22+1</f>
        <v>2</v>
      </c>
      <c r="B23" s="148"/>
      <c r="C23" s="30" t="str">
        <f>'T &amp; M (WS1)'!C23</f>
        <v>Does Top Management visit Gemba on a fortnightly basis?</v>
      </c>
      <c r="D23" s="21"/>
      <c r="E23" s="33"/>
      <c r="F23" s="42" t="s">
        <v>31</v>
      </c>
      <c r="G23" s="14">
        <v>4</v>
      </c>
      <c r="M23" s="35" t="s">
        <v>32</v>
      </c>
      <c r="N23" s="35">
        <v>20</v>
      </c>
    </row>
    <row r="24" spans="1:14" ht="15.5" x14ac:dyDescent="0.35">
      <c r="A24" s="28">
        <f>A23+1</f>
        <v>3</v>
      </c>
      <c r="B24" s="148"/>
      <c r="C24" s="30" t="str">
        <f>'T &amp; M (WS1)'!C24</f>
        <v>Does Top Management attend opening &amp; closing meeting of workshops?</v>
      </c>
      <c r="D24" s="21"/>
      <c r="E24" s="33"/>
      <c r="F24" s="43" t="s">
        <v>34</v>
      </c>
      <c r="G24" s="15">
        <v>3</v>
      </c>
      <c r="M24" s="35" t="s">
        <v>35</v>
      </c>
      <c r="N24" s="35">
        <v>15</v>
      </c>
    </row>
    <row r="25" spans="1:14" ht="31" x14ac:dyDescent="0.35">
      <c r="A25" s="28">
        <f>A24+1</f>
        <v>4</v>
      </c>
      <c r="B25" s="148"/>
      <c r="C25" s="30" t="str">
        <f>'T &amp; M (WS1)'!C25</f>
        <v>Does top management actively communicate the importance of Time &amp; Motion Studies to the organization?</v>
      </c>
      <c r="D25" s="21"/>
      <c r="E25" s="33"/>
      <c r="F25" s="44" t="s">
        <v>37</v>
      </c>
      <c r="G25" s="16">
        <v>2</v>
      </c>
      <c r="M25" s="35" t="s">
        <v>38</v>
      </c>
      <c r="N25" s="35">
        <v>10</v>
      </c>
    </row>
    <row r="26" spans="1:14" ht="16" thickBot="1" x14ac:dyDescent="0.4">
      <c r="A26" s="28">
        <f>A25+1</f>
        <v>5</v>
      </c>
      <c r="B26" s="148"/>
      <c r="C26" s="30" t="str">
        <f>'T &amp; M (WS1)'!C26</f>
        <v>Does Top Management give workshop feedback on time to Quality?</v>
      </c>
      <c r="D26" s="21"/>
      <c r="E26" s="33"/>
      <c r="F26" s="45" t="s">
        <v>40</v>
      </c>
      <c r="G26" s="31">
        <v>1</v>
      </c>
      <c r="M26" s="35" t="s">
        <v>19</v>
      </c>
      <c r="N26" s="35">
        <v>100</v>
      </c>
    </row>
    <row r="27" spans="1:14" ht="15.5" x14ac:dyDescent="0.35">
      <c r="A27" s="138"/>
      <c r="B27" s="148"/>
      <c r="C27" s="18" t="str">
        <f>'T &amp; M (WS1)'!C27</f>
        <v>Total</v>
      </c>
      <c r="D27" s="22">
        <f>SUM(D22:D26)</f>
        <v>0</v>
      </c>
      <c r="E27" s="33"/>
      <c r="F27" s="186"/>
      <c r="G27" s="187"/>
    </row>
    <row r="28" spans="1:14" ht="15.5" x14ac:dyDescent="0.35">
      <c r="A28" s="139"/>
      <c r="B28" s="148"/>
      <c r="C28" s="18" t="str">
        <f>'T &amp; M (WS1)'!C28</f>
        <v>Maximum Score</v>
      </c>
      <c r="D28" s="22">
        <f>COUNT(A22:A26)*$G$22</f>
        <v>25</v>
      </c>
      <c r="E28" s="33"/>
      <c r="F28" s="186"/>
      <c r="G28" s="187"/>
    </row>
    <row r="29" spans="1:14" ht="16" thickBot="1" x14ac:dyDescent="0.4">
      <c r="A29" s="140"/>
      <c r="B29" s="149"/>
      <c r="C29" s="19" t="str">
        <f>'T &amp; M (WS1)'!C29</f>
        <v>Top Management Commitment</v>
      </c>
      <c r="D29" s="23">
        <f>D27/D28</f>
        <v>0</v>
      </c>
      <c r="E29" s="33"/>
      <c r="F29" s="186"/>
      <c r="G29" s="187"/>
    </row>
    <row r="30" spans="1:14" ht="15.5" x14ac:dyDescent="0.35">
      <c r="A30" s="27">
        <f>A26+1</f>
        <v>6</v>
      </c>
      <c r="B30" s="148" t="s">
        <v>71</v>
      </c>
      <c r="C30" s="29" t="e">
        <f>'T &amp; M (WS1)'!#REF!</f>
        <v>#REF!</v>
      </c>
      <c r="D30" s="21"/>
      <c r="E30" s="33"/>
      <c r="F30" s="186"/>
      <c r="G30" s="187"/>
    </row>
    <row r="31" spans="1:14" ht="31" x14ac:dyDescent="0.35">
      <c r="A31" s="28">
        <f t="shared" ref="A31:A34" si="0">A30+1</f>
        <v>7</v>
      </c>
      <c r="B31" s="148"/>
      <c r="C31" s="30" t="str">
        <f>'T &amp; M (WS1)'!C30</f>
        <v>Rate the Departmental Head's accessibility and provision of necessary data on time</v>
      </c>
      <c r="D31" s="21"/>
      <c r="E31" s="33"/>
      <c r="F31" s="186"/>
      <c r="G31" s="187"/>
    </row>
    <row r="32" spans="1:14" ht="31" x14ac:dyDescent="0.35">
      <c r="A32" s="28">
        <f t="shared" si="0"/>
        <v>8</v>
      </c>
      <c r="B32" s="148"/>
      <c r="C32" s="30" t="str">
        <f>'T &amp; M (WS1)'!C32</f>
        <v>The Departmental Head's involvement in addressing challenges related to data availability?</v>
      </c>
      <c r="D32" s="21"/>
      <c r="E32" s="33"/>
      <c r="F32" s="186"/>
      <c r="G32" s="187"/>
    </row>
    <row r="33" spans="1:7" ht="31" x14ac:dyDescent="0.35">
      <c r="A33" s="28">
        <f t="shared" si="0"/>
        <v>9</v>
      </c>
      <c r="B33" s="148"/>
      <c r="C33" s="30" t="str">
        <f>'T &amp; M (WS1)'!C33</f>
        <v>The Departmental Head's support for trying new ways of collecting and analysing data.</v>
      </c>
      <c r="D33" s="21"/>
      <c r="E33" s="33"/>
      <c r="F33" s="186"/>
      <c r="G33" s="187"/>
    </row>
    <row r="34" spans="1:7" ht="31" x14ac:dyDescent="0.35">
      <c r="A34" s="28">
        <f t="shared" si="0"/>
        <v>10</v>
      </c>
      <c r="B34" s="148"/>
      <c r="C34" s="30" t="str">
        <f>'T &amp; M (WS1)'!C34</f>
        <v>The Departmental Head's support in identifying and addressing gaps in data availability</v>
      </c>
      <c r="D34" s="21"/>
      <c r="E34" s="33"/>
      <c r="F34" s="186"/>
      <c r="G34" s="187"/>
    </row>
    <row r="35" spans="1:7" ht="15.5" x14ac:dyDescent="0.35">
      <c r="A35" s="138"/>
      <c r="B35" s="148"/>
      <c r="C35" s="18" t="str">
        <f>'T &amp; M (WS1)'!C35</f>
        <v>Total</v>
      </c>
      <c r="D35" s="22">
        <f>SUM(D30:D34)</f>
        <v>0</v>
      </c>
      <c r="E35" s="33"/>
      <c r="F35" s="186"/>
      <c r="G35" s="187"/>
    </row>
    <row r="36" spans="1:7" ht="15.5" x14ac:dyDescent="0.35">
      <c r="A36" s="139"/>
      <c r="B36" s="148"/>
      <c r="C36" s="18" t="str">
        <f>'T &amp; M (WS1)'!C36</f>
        <v>Maximum Score</v>
      </c>
      <c r="D36" s="22">
        <f>COUNT(A30:A34)*$G$22</f>
        <v>25</v>
      </c>
      <c r="E36" s="33"/>
      <c r="F36" s="186"/>
      <c r="G36" s="187"/>
    </row>
    <row r="37" spans="1:7" ht="16" thickBot="1" x14ac:dyDescent="0.4">
      <c r="A37" s="140"/>
      <c r="B37" s="149"/>
      <c r="C37" s="19" t="str">
        <f>'T &amp; M (WS1)'!C37</f>
        <v>Departmental Heads' Commitment</v>
      </c>
      <c r="D37" s="23">
        <f>D35/D36</f>
        <v>0</v>
      </c>
      <c r="E37" s="33"/>
      <c r="F37" s="186"/>
      <c r="G37" s="187"/>
    </row>
    <row r="38" spans="1:7" ht="15.5" x14ac:dyDescent="0.35">
      <c r="A38" s="27">
        <f>A34+1</f>
        <v>11</v>
      </c>
      <c r="B38" s="148" t="s">
        <v>72</v>
      </c>
      <c r="C38" s="29" t="str">
        <f>'T &amp; M (WS1)'!C38</f>
        <v>Are team members available full time to drive projects during workshop?</v>
      </c>
      <c r="D38" s="21"/>
      <c r="E38" s="33"/>
      <c r="F38" s="186"/>
      <c r="G38" s="187"/>
    </row>
    <row r="39" spans="1:7" ht="15.5" x14ac:dyDescent="0.35">
      <c r="A39" s="28">
        <f t="shared" ref="A39:A42" si="1">A38+1</f>
        <v>12</v>
      </c>
      <c r="B39" s="148"/>
      <c r="C39" s="30" t="str">
        <f>'T &amp; M (WS1)'!C39</f>
        <v>How committed is the project team towards process improvement?</v>
      </c>
      <c r="D39" s="21"/>
      <c r="E39" s="33"/>
      <c r="F39" s="186"/>
      <c r="G39" s="187"/>
    </row>
    <row r="40" spans="1:7" ht="31" x14ac:dyDescent="0.35">
      <c r="A40" s="28">
        <f t="shared" si="1"/>
        <v>13</v>
      </c>
      <c r="B40" s="148"/>
      <c r="C40" s="30" t="str">
        <f>'T &amp; M (WS1)'!C40</f>
        <v>Rate the White Collar Team's proactiveness in seeking additional data or information related to their tasks.</v>
      </c>
      <c r="D40" s="21"/>
      <c r="E40" s="33"/>
      <c r="F40" s="186"/>
      <c r="G40" s="187"/>
    </row>
    <row r="41" spans="1:7" ht="15.5" x14ac:dyDescent="0.35">
      <c r="A41" s="28">
        <f t="shared" si="1"/>
        <v>14</v>
      </c>
      <c r="B41" s="148"/>
      <c r="C41" s="30">
        <f>'T &amp; M (WS1)'!C41</f>
        <v>0</v>
      </c>
      <c r="D41" s="21"/>
      <c r="E41" s="33"/>
      <c r="F41" s="186"/>
      <c r="G41" s="187"/>
    </row>
    <row r="42" spans="1:7" ht="15.5" x14ac:dyDescent="0.35">
      <c r="A42" s="28">
        <f t="shared" si="1"/>
        <v>15</v>
      </c>
      <c r="B42" s="148"/>
      <c r="C42" s="30">
        <f>'T &amp; M (WS1)'!C42</f>
        <v>0</v>
      </c>
      <c r="D42" s="21"/>
      <c r="E42" s="33"/>
      <c r="F42" s="186"/>
      <c r="G42" s="187"/>
    </row>
    <row r="43" spans="1:7" ht="15.5" x14ac:dyDescent="0.35">
      <c r="A43" s="138"/>
      <c r="B43" s="148"/>
      <c r="C43" s="18" t="str">
        <f>'T &amp; M (WS1)'!C43</f>
        <v>Total</v>
      </c>
      <c r="D43" s="22">
        <f>SUM(D38:D42)</f>
        <v>0</v>
      </c>
      <c r="E43" s="33"/>
      <c r="F43" s="186"/>
      <c r="G43" s="187"/>
    </row>
    <row r="44" spans="1:7" ht="15.5" x14ac:dyDescent="0.35">
      <c r="A44" s="139"/>
      <c r="B44" s="148"/>
      <c r="C44" s="18" t="str">
        <f>'T &amp; M (WS1)'!C44</f>
        <v>Maximum Score</v>
      </c>
      <c r="D44" s="22">
        <f>COUNT(A38:A42)*$G$22</f>
        <v>25</v>
      </c>
      <c r="E44" s="33"/>
      <c r="F44" s="186"/>
      <c r="G44" s="187"/>
    </row>
    <row r="45" spans="1:7" ht="16" thickBot="1" x14ac:dyDescent="0.4">
      <c r="A45" s="140"/>
      <c r="B45" s="149"/>
      <c r="C45" s="19" t="str">
        <f>'T &amp; M (WS1)'!C45</f>
        <v>Managerial Team's Commitment</v>
      </c>
      <c r="D45" s="23">
        <f>D43/D44</f>
        <v>0</v>
      </c>
      <c r="E45" s="33"/>
      <c r="F45" s="186"/>
      <c r="G45" s="187"/>
    </row>
    <row r="46" spans="1:7" ht="15.5" x14ac:dyDescent="0.35">
      <c r="A46" s="27">
        <f>A42+1</f>
        <v>16</v>
      </c>
      <c r="B46" s="148" t="s">
        <v>73</v>
      </c>
      <c r="C46" s="29" t="str">
        <f>'T &amp; M (WS1)'!C46</f>
        <v>Are travel arrangements done in convenient manner?</v>
      </c>
      <c r="D46" s="21"/>
      <c r="E46" s="33"/>
      <c r="F46" s="186"/>
      <c r="G46" s="187"/>
    </row>
    <row r="47" spans="1:7" ht="15.5" x14ac:dyDescent="0.35">
      <c r="A47" s="28">
        <f t="shared" ref="A47:A50" si="2">A46+1</f>
        <v>17</v>
      </c>
      <c r="B47" s="148"/>
      <c r="C47" s="30" t="str">
        <f>'T &amp; M (WS1)'!C47</f>
        <v>Is client team supporting Faber Travel desk on time?</v>
      </c>
      <c r="D47" s="21"/>
      <c r="E47" s="33"/>
      <c r="F47" s="186"/>
      <c r="G47" s="187"/>
    </row>
    <row r="48" spans="1:7" ht="15.5" x14ac:dyDescent="0.35">
      <c r="A48" s="28">
        <f t="shared" si="2"/>
        <v>18</v>
      </c>
      <c r="B48" s="148"/>
      <c r="C48" s="30" t="str">
        <f>'T &amp; M (WS1)'!C48</f>
        <v>Is dedicated workstation given to consulting team?</v>
      </c>
      <c r="D48" s="21"/>
      <c r="E48" s="33"/>
      <c r="F48" s="186"/>
      <c r="G48" s="187"/>
    </row>
    <row r="49" spans="1:14" ht="15.5" x14ac:dyDescent="0.35">
      <c r="A49" s="28">
        <f t="shared" si="2"/>
        <v>19</v>
      </c>
      <c r="B49" s="148"/>
      <c r="C49" s="30" t="str">
        <f>'T &amp; M (WS1)'!C49</f>
        <v>Has the team been provided with necessary supplies and internet access?</v>
      </c>
      <c r="D49" s="21"/>
      <c r="E49" s="33"/>
      <c r="F49" s="186"/>
      <c r="G49" s="187"/>
    </row>
    <row r="50" spans="1:14" ht="15.5" x14ac:dyDescent="0.35">
      <c r="A50" s="28">
        <f t="shared" si="2"/>
        <v>20</v>
      </c>
      <c r="B50" s="148"/>
      <c r="C50" s="30" t="str">
        <f>'T &amp; M (WS1)'!C50</f>
        <v>Is accommodation arrangement done properly?</v>
      </c>
      <c r="D50" s="21"/>
      <c r="E50" s="33"/>
      <c r="F50" s="186"/>
      <c r="G50" s="187"/>
    </row>
    <row r="51" spans="1:14" ht="15.5" x14ac:dyDescent="0.35">
      <c r="A51" s="138"/>
      <c r="B51" s="148"/>
      <c r="C51" s="18" t="str">
        <f>'T &amp; M (WS1)'!C51</f>
        <v>Total</v>
      </c>
      <c r="D51" s="22">
        <f>SUM(D46:D50)</f>
        <v>0</v>
      </c>
      <c r="E51" s="33"/>
      <c r="F51" s="186"/>
      <c r="G51" s="187"/>
    </row>
    <row r="52" spans="1:14" ht="15.5" x14ac:dyDescent="0.35">
      <c r="A52" s="139"/>
      <c r="B52" s="148"/>
      <c r="C52" s="18" t="str">
        <f>'T &amp; M (WS1)'!C52</f>
        <v>Maximum Score</v>
      </c>
      <c r="D52" s="22">
        <f>COUNT(A46:A50)*$G$22</f>
        <v>25</v>
      </c>
      <c r="E52" s="33"/>
      <c r="F52" s="186"/>
      <c r="G52" s="187"/>
    </row>
    <row r="53" spans="1:14" ht="16" thickBot="1" x14ac:dyDescent="0.4">
      <c r="A53" s="140"/>
      <c r="B53" s="149"/>
      <c r="C53" s="19" t="str">
        <f>'T &amp; M (WS1)'!C53</f>
        <v>Administrative support</v>
      </c>
      <c r="D53" s="23">
        <f>D51/D52</f>
        <v>0</v>
      </c>
      <c r="E53" s="33"/>
      <c r="F53" s="186"/>
      <c r="G53" s="187"/>
    </row>
    <row r="54" spans="1:14" ht="15.75" customHeight="1" x14ac:dyDescent="0.35">
      <c r="A54" s="27">
        <f>A50+1</f>
        <v>21</v>
      </c>
      <c r="B54" s="148" t="s">
        <v>12</v>
      </c>
      <c r="C54" s="29" t="e">
        <f>'T &amp; M (WS1)'!#REF!</f>
        <v>#REF!</v>
      </c>
      <c r="D54" s="21"/>
      <c r="E54" s="33"/>
      <c r="F54" s="186"/>
      <c r="G54" s="187"/>
    </row>
    <row r="55" spans="1:14" ht="15.75" customHeight="1" x14ac:dyDescent="0.35">
      <c r="A55" s="28">
        <f t="shared" ref="A55:A58" si="3">A54+1</f>
        <v>22</v>
      </c>
      <c r="B55" s="148"/>
      <c r="C55" s="30" t="e">
        <f>'T &amp; M (WS1)'!#REF!</f>
        <v>#REF!</v>
      </c>
      <c r="D55" s="21"/>
      <c r="E55" s="33"/>
      <c r="F55" s="186"/>
      <c r="G55" s="187"/>
    </row>
    <row r="56" spans="1:14" ht="15.75" customHeight="1" x14ac:dyDescent="0.35">
      <c r="A56" s="28">
        <f t="shared" si="3"/>
        <v>23</v>
      </c>
      <c r="B56" s="148"/>
      <c r="C56" s="30" t="e">
        <f>'T &amp; M (WS1)'!#REF!</f>
        <v>#REF!</v>
      </c>
      <c r="D56" s="21"/>
      <c r="E56" s="33"/>
      <c r="F56" s="186"/>
      <c r="G56" s="187"/>
    </row>
    <row r="57" spans="1:14" ht="15.75" customHeight="1" x14ac:dyDescent="0.35">
      <c r="A57" s="28">
        <f t="shared" si="3"/>
        <v>24</v>
      </c>
      <c r="B57" s="148"/>
      <c r="C57" s="30" t="e">
        <f>'T &amp; M (WS1)'!#REF!</f>
        <v>#REF!</v>
      </c>
      <c r="D57" s="21"/>
      <c r="E57" s="33"/>
      <c r="F57" s="186"/>
      <c r="G57" s="187"/>
    </row>
    <row r="58" spans="1:14" ht="15.75" customHeight="1" x14ac:dyDescent="0.35">
      <c r="A58" s="28">
        <f t="shared" si="3"/>
        <v>25</v>
      </c>
      <c r="B58" s="148"/>
      <c r="C58" s="30" t="e">
        <f>'T &amp; M (WS1)'!#REF!</f>
        <v>#REF!</v>
      </c>
      <c r="D58" s="21"/>
      <c r="E58" s="33"/>
      <c r="F58" s="186"/>
      <c r="G58" s="187"/>
    </row>
    <row r="59" spans="1:14" ht="15.5" x14ac:dyDescent="0.35">
      <c r="A59" s="138"/>
      <c r="B59" s="148"/>
      <c r="C59" s="18" t="e">
        <f>'T &amp; M (WS1)'!#REF!</f>
        <v>#REF!</v>
      </c>
      <c r="D59" s="22">
        <f>SUM(D54:D58)</f>
        <v>0</v>
      </c>
      <c r="E59" s="33"/>
      <c r="F59" s="186"/>
      <c r="G59" s="187"/>
    </row>
    <row r="60" spans="1:14" ht="15.5" x14ac:dyDescent="0.35">
      <c r="A60" s="139"/>
      <c r="B60" s="148"/>
      <c r="C60" s="18" t="e">
        <f>'T &amp; M (WS1)'!#REF!</f>
        <v>#REF!</v>
      </c>
      <c r="D60" s="22">
        <f>COUNT(A54:A58)*$G$22</f>
        <v>25</v>
      </c>
      <c r="E60" s="33"/>
      <c r="F60" s="186"/>
      <c r="G60" s="187"/>
    </row>
    <row r="61" spans="1:14" ht="16" thickBot="1" x14ac:dyDescent="0.4">
      <c r="A61" s="140"/>
      <c r="B61" s="149"/>
      <c r="C61" s="19" t="e">
        <f>'T &amp; M (WS1)'!#REF!</f>
        <v>#REF!</v>
      </c>
      <c r="D61" s="23">
        <f>D59/D60</f>
        <v>0</v>
      </c>
      <c r="E61" s="33"/>
      <c r="F61" s="186"/>
      <c r="G61" s="187"/>
    </row>
    <row r="62" spans="1:14" s="5" customFormat="1" x14ac:dyDescent="0.35">
      <c r="A62" s="194"/>
      <c r="B62" s="195"/>
      <c r="C62" s="46" t="s">
        <v>59</v>
      </c>
      <c r="D62" s="24">
        <f>D27+D35+D43+D51+D59</f>
        <v>0</v>
      </c>
      <c r="E62" s="33"/>
      <c r="F62" s="186"/>
      <c r="G62" s="187"/>
      <c r="M62" s="40"/>
      <c r="N62" s="40"/>
    </row>
    <row r="63" spans="1:14" x14ac:dyDescent="0.35">
      <c r="A63" s="196"/>
      <c r="B63" s="197"/>
      <c r="C63" s="47" t="s">
        <v>60</v>
      </c>
      <c r="D63" s="25">
        <f>+D28+D44+D52+D60+D36</f>
        <v>125</v>
      </c>
      <c r="E63" s="33"/>
      <c r="F63" s="186"/>
      <c r="G63" s="187"/>
    </row>
    <row r="64" spans="1:14" s="2" customFormat="1" ht="16" thickBot="1" x14ac:dyDescent="0.4">
      <c r="A64" s="198"/>
      <c r="B64" s="199"/>
      <c r="C64" s="48" t="s">
        <v>61</v>
      </c>
      <c r="D64" s="26">
        <f>D62/D63</f>
        <v>0</v>
      </c>
      <c r="E64" s="34"/>
      <c r="F64" s="188"/>
      <c r="G64" s="189"/>
      <c r="M64" s="39"/>
      <c r="N64" s="39"/>
    </row>
    <row r="66" spans="7:7" x14ac:dyDescent="0.35">
      <c r="G66" s="7"/>
    </row>
    <row r="67" spans="7:7" x14ac:dyDescent="0.35">
      <c r="G67" s="7"/>
    </row>
    <row r="68" spans="7:7" x14ac:dyDescent="0.35">
      <c r="G68" s="7"/>
    </row>
    <row r="69" spans="7:7" x14ac:dyDescent="0.35">
      <c r="G69" s="7"/>
    </row>
  </sheetData>
  <mergeCells count="21">
    <mergeCell ref="A1:G1"/>
    <mergeCell ref="A2:B2"/>
    <mergeCell ref="D2:G6"/>
    <mergeCell ref="A3:B3"/>
    <mergeCell ref="A4:B4"/>
    <mergeCell ref="A5:B5"/>
    <mergeCell ref="A6:B6"/>
    <mergeCell ref="A51:A53"/>
    <mergeCell ref="B54:B61"/>
    <mergeCell ref="A59:A61"/>
    <mergeCell ref="A62:B64"/>
    <mergeCell ref="A7:G20"/>
    <mergeCell ref="F21:G21"/>
    <mergeCell ref="B22:B29"/>
    <mergeCell ref="A27:A29"/>
    <mergeCell ref="F27:G64"/>
    <mergeCell ref="B30:B37"/>
    <mergeCell ref="A35:A37"/>
    <mergeCell ref="B38:B45"/>
    <mergeCell ref="A43:A45"/>
    <mergeCell ref="B46:B53"/>
  </mergeCells>
  <conditionalFormatting sqref="D22:D26">
    <cfRule type="cellIs" dxfId="59" priority="25" operator="equal">
      <formula>1</formula>
    </cfRule>
    <cfRule type="cellIs" dxfId="58" priority="26" operator="equal">
      <formula>2</formula>
    </cfRule>
    <cfRule type="cellIs" dxfId="57" priority="27" operator="equal">
      <formula>3</formula>
    </cfRule>
    <cfRule type="cellIs" dxfId="56" priority="28" operator="equal">
      <formula>4</formula>
    </cfRule>
    <cfRule type="cellIs" dxfId="55" priority="29" operator="equal">
      <formula>5</formula>
    </cfRule>
    <cfRule type="containsBlanks" dxfId="54" priority="30">
      <formula>LEN(TRIM(D22))=0</formula>
    </cfRule>
  </conditionalFormatting>
  <conditionalFormatting sqref="D30:D34">
    <cfRule type="cellIs" dxfId="53" priority="19" operator="equal">
      <formula>1</formula>
    </cfRule>
    <cfRule type="cellIs" dxfId="52" priority="20" operator="equal">
      <formula>2</formula>
    </cfRule>
    <cfRule type="cellIs" dxfId="51" priority="21" operator="equal">
      <formula>3</formula>
    </cfRule>
    <cfRule type="cellIs" dxfId="50" priority="22" operator="equal">
      <formula>4</formula>
    </cfRule>
    <cfRule type="cellIs" dxfId="49" priority="23" operator="equal">
      <formula>5</formula>
    </cfRule>
    <cfRule type="containsBlanks" dxfId="48" priority="24">
      <formula>LEN(TRIM(D30))=0</formula>
    </cfRule>
  </conditionalFormatting>
  <conditionalFormatting sqref="D38:D42">
    <cfRule type="cellIs" dxfId="47" priority="13" operator="equal">
      <formula>1</formula>
    </cfRule>
    <cfRule type="cellIs" dxfId="46" priority="14" operator="equal">
      <formula>2</formula>
    </cfRule>
    <cfRule type="cellIs" dxfId="45" priority="15" operator="equal">
      <formula>3</formula>
    </cfRule>
    <cfRule type="cellIs" dxfId="44" priority="16" operator="equal">
      <formula>4</formula>
    </cfRule>
    <cfRule type="cellIs" dxfId="43" priority="17" operator="equal">
      <formula>5</formula>
    </cfRule>
    <cfRule type="containsBlanks" dxfId="42" priority="18">
      <formula>LEN(TRIM(D38))=0</formula>
    </cfRule>
  </conditionalFormatting>
  <conditionalFormatting sqref="D46:D50">
    <cfRule type="cellIs" dxfId="41" priority="7" operator="equal">
      <formula>1</formula>
    </cfRule>
    <cfRule type="cellIs" dxfId="40" priority="8" operator="equal">
      <formula>2</formula>
    </cfRule>
    <cfRule type="cellIs" dxfId="39" priority="9" operator="equal">
      <formula>3</formula>
    </cfRule>
    <cfRule type="cellIs" dxfId="38" priority="10" operator="equal">
      <formula>4</formula>
    </cfRule>
    <cfRule type="cellIs" dxfId="37" priority="11" operator="equal">
      <formula>5</formula>
    </cfRule>
    <cfRule type="containsBlanks" dxfId="36" priority="12">
      <formula>LEN(TRIM(D46))=0</formula>
    </cfRule>
  </conditionalFormatting>
  <conditionalFormatting sqref="D54:D58">
    <cfRule type="cellIs" dxfId="35" priority="1" operator="equal">
      <formula>1</formula>
    </cfRule>
    <cfRule type="cellIs" dxfId="34" priority="2" operator="equal">
      <formula>2</formula>
    </cfRule>
    <cfRule type="cellIs" dxfId="33" priority="3" operator="equal">
      <formula>3</formula>
    </cfRule>
    <cfRule type="cellIs" dxfId="32" priority="4" operator="equal">
      <formula>4</formula>
    </cfRule>
    <cfRule type="cellIs" dxfId="31" priority="5" operator="equal">
      <formula>5</formula>
    </cfRule>
    <cfRule type="containsBlanks" dxfId="30" priority="6">
      <formula>LEN(TRIM(D54))=0</formula>
    </cfRule>
  </conditionalFormatting>
  <dataValidations count="1">
    <dataValidation type="list" allowBlank="1" showInputMessage="1" showErrorMessage="1" sqref="D54:D58 D38:D42 D46:D50 D30:D34 D22:D26" xr:uid="{00000000-0002-0000-0700-000000000000}">
      <formula1>$G$22:$G$26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7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69"/>
  <sheetViews>
    <sheetView zoomScaleNormal="100" workbookViewId="0">
      <selection sqref="A1:G1"/>
    </sheetView>
  </sheetViews>
  <sheetFormatPr defaultColWidth="8.81640625" defaultRowHeight="14.5" x14ac:dyDescent="0.35"/>
  <cols>
    <col min="1" max="1" width="9.7265625" style="3" customWidth="1"/>
    <col min="2" max="2" width="14.7265625" style="3" customWidth="1"/>
    <col min="3" max="3" width="72.7265625" style="3" customWidth="1"/>
    <col min="4" max="4" width="9.7265625" style="6" customWidth="1"/>
    <col min="5" max="5" width="2.26953125" style="3" customWidth="1"/>
    <col min="6" max="6" width="18.7265625" style="3" customWidth="1"/>
    <col min="7" max="7" width="5.7265625" style="6" customWidth="1"/>
    <col min="8" max="12" width="8.81640625" style="3"/>
    <col min="13" max="14" width="8.81640625" style="40"/>
    <col min="15" max="16384" width="8.81640625" style="3"/>
  </cols>
  <sheetData>
    <row r="1" spans="1:14" s="1" customFormat="1" ht="34" thickBot="1" x14ac:dyDescent="0.4">
      <c r="A1" s="200" t="s">
        <v>0</v>
      </c>
      <c r="B1" s="201"/>
      <c r="C1" s="201"/>
      <c r="D1" s="201"/>
      <c r="E1" s="201"/>
      <c r="F1" s="201"/>
      <c r="G1" s="202"/>
      <c r="M1" s="38"/>
      <c r="N1" s="38"/>
    </row>
    <row r="2" spans="1:14" s="2" customFormat="1" ht="17" x14ac:dyDescent="0.35">
      <c r="A2" s="203" t="s">
        <v>1</v>
      </c>
      <c r="B2" s="204"/>
      <c r="C2" s="8" t="str">
        <f>'T &amp; M (WS1)'!C2</f>
        <v>iD Fresh Food India Pvt Ltd</v>
      </c>
      <c r="D2" s="164"/>
      <c r="E2" s="165"/>
      <c r="F2" s="165"/>
      <c r="G2" s="166"/>
      <c r="M2" s="39"/>
      <c r="N2" s="39"/>
    </row>
    <row r="3" spans="1:14" s="2" customFormat="1" ht="17" x14ac:dyDescent="0.35">
      <c r="A3" s="205" t="s">
        <v>14</v>
      </c>
      <c r="B3" s="206"/>
      <c r="C3" s="9">
        <v>12</v>
      </c>
      <c r="D3" s="167"/>
      <c r="E3" s="168"/>
      <c r="F3" s="168"/>
      <c r="G3" s="169"/>
      <c r="M3" s="39"/>
      <c r="N3" s="39"/>
    </row>
    <row r="4" spans="1:14" s="2" customFormat="1" ht="17" x14ac:dyDescent="0.35">
      <c r="A4" s="205" t="s">
        <v>2</v>
      </c>
      <c r="B4" s="206"/>
      <c r="C4" s="9" t="s">
        <v>68</v>
      </c>
      <c r="D4" s="167"/>
      <c r="E4" s="168"/>
      <c r="F4" s="168"/>
      <c r="G4" s="169"/>
      <c r="M4" s="39"/>
      <c r="N4" s="39"/>
    </row>
    <row r="5" spans="1:14" s="2" customFormat="1" ht="17" x14ac:dyDescent="0.35">
      <c r="A5" s="205" t="s">
        <v>3</v>
      </c>
      <c r="B5" s="206"/>
      <c r="C5" s="9" t="s">
        <v>69</v>
      </c>
      <c r="D5" s="167"/>
      <c r="E5" s="168"/>
      <c r="F5" s="168"/>
      <c r="G5" s="169"/>
      <c r="M5" s="39"/>
      <c r="N5" s="39"/>
    </row>
    <row r="6" spans="1:14" s="2" customFormat="1" ht="17.5" thickBot="1" x14ac:dyDescent="0.4">
      <c r="A6" s="207" t="s">
        <v>15</v>
      </c>
      <c r="B6" s="208"/>
      <c r="C6" s="10" t="s">
        <v>70</v>
      </c>
      <c r="D6" s="170"/>
      <c r="E6" s="171"/>
      <c r="F6" s="171"/>
      <c r="G6" s="172"/>
      <c r="M6" s="39"/>
      <c r="N6" s="39"/>
    </row>
    <row r="7" spans="1:14" x14ac:dyDescent="0.35">
      <c r="A7" s="173"/>
      <c r="B7" s="174"/>
      <c r="C7" s="174"/>
      <c r="D7" s="174"/>
      <c r="E7" s="174"/>
      <c r="F7" s="174"/>
      <c r="G7" s="175"/>
    </row>
    <row r="8" spans="1:14" x14ac:dyDescent="0.35">
      <c r="A8" s="176"/>
      <c r="B8" s="177"/>
      <c r="C8" s="177"/>
      <c r="D8" s="177"/>
      <c r="E8" s="177"/>
      <c r="F8" s="177"/>
      <c r="G8" s="178"/>
    </row>
    <row r="9" spans="1:14" x14ac:dyDescent="0.35">
      <c r="A9" s="176"/>
      <c r="B9" s="177"/>
      <c r="C9" s="177"/>
      <c r="D9" s="177"/>
      <c r="E9" s="177"/>
      <c r="F9" s="177"/>
      <c r="G9" s="178"/>
    </row>
    <row r="10" spans="1:14" x14ac:dyDescent="0.35">
      <c r="A10" s="176"/>
      <c r="B10" s="177"/>
      <c r="C10" s="177"/>
      <c r="D10" s="177"/>
      <c r="E10" s="177"/>
      <c r="F10" s="177"/>
      <c r="G10" s="178"/>
    </row>
    <row r="11" spans="1:14" x14ac:dyDescent="0.35">
      <c r="A11" s="176"/>
      <c r="B11" s="177"/>
      <c r="C11" s="177"/>
      <c r="D11" s="177"/>
      <c r="E11" s="177"/>
      <c r="F11" s="177"/>
      <c r="G11" s="178"/>
    </row>
    <row r="12" spans="1:14" x14ac:dyDescent="0.35">
      <c r="A12" s="176"/>
      <c r="B12" s="177"/>
      <c r="C12" s="177"/>
      <c r="D12" s="177"/>
      <c r="E12" s="177"/>
      <c r="F12" s="177"/>
      <c r="G12" s="178"/>
    </row>
    <row r="13" spans="1:14" x14ac:dyDescent="0.35">
      <c r="A13" s="176"/>
      <c r="B13" s="177"/>
      <c r="C13" s="177"/>
      <c r="D13" s="177"/>
      <c r="E13" s="177"/>
      <c r="F13" s="177"/>
      <c r="G13" s="178"/>
    </row>
    <row r="14" spans="1:14" x14ac:dyDescent="0.35">
      <c r="A14" s="176"/>
      <c r="B14" s="177"/>
      <c r="C14" s="177"/>
      <c r="D14" s="177"/>
      <c r="E14" s="177"/>
      <c r="F14" s="177"/>
      <c r="G14" s="178"/>
    </row>
    <row r="15" spans="1:14" x14ac:dyDescent="0.35">
      <c r="A15" s="176"/>
      <c r="B15" s="177"/>
      <c r="C15" s="177"/>
      <c r="D15" s="177"/>
      <c r="E15" s="177"/>
      <c r="F15" s="177"/>
      <c r="G15" s="178"/>
      <c r="M15" s="35" t="s">
        <v>16</v>
      </c>
      <c r="N15" s="35"/>
    </row>
    <row r="16" spans="1:14" x14ac:dyDescent="0.35">
      <c r="A16" s="176"/>
      <c r="B16" s="177"/>
      <c r="C16" s="177"/>
      <c r="D16" s="177"/>
      <c r="E16" s="177"/>
      <c r="F16" s="177"/>
      <c r="G16" s="178"/>
      <c r="M16" s="35" t="s">
        <v>17</v>
      </c>
      <c r="N16" s="36">
        <f>D64</f>
        <v>0</v>
      </c>
    </row>
    <row r="17" spans="1:14" x14ac:dyDescent="0.35">
      <c r="A17" s="176"/>
      <c r="B17" s="177"/>
      <c r="C17" s="177"/>
      <c r="D17" s="177"/>
      <c r="E17" s="177"/>
      <c r="F17" s="177"/>
      <c r="G17" s="178"/>
      <c r="M17" s="35" t="s">
        <v>18</v>
      </c>
      <c r="N17" s="37">
        <v>0.02</v>
      </c>
    </row>
    <row r="18" spans="1:14" x14ac:dyDescent="0.35">
      <c r="A18" s="176"/>
      <c r="B18" s="177"/>
      <c r="C18" s="177"/>
      <c r="D18" s="177"/>
      <c r="E18" s="177"/>
      <c r="F18" s="177"/>
      <c r="G18" s="178"/>
      <c r="M18" s="35" t="s">
        <v>19</v>
      </c>
      <c r="N18" s="36">
        <f>200%-(N16+N17)</f>
        <v>1.98</v>
      </c>
    </row>
    <row r="19" spans="1:14" x14ac:dyDescent="0.35">
      <c r="A19" s="176"/>
      <c r="B19" s="177"/>
      <c r="C19" s="177"/>
      <c r="D19" s="177"/>
      <c r="E19" s="177"/>
      <c r="F19" s="177"/>
      <c r="G19" s="178"/>
    </row>
    <row r="20" spans="1:14" ht="15" thickBot="1" x14ac:dyDescent="0.4">
      <c r="A20" s="179"/>
      <c r="B20" s="180"/>
      <c r="C20" s="180"/>
      <c r="D20" s="180"/>
      <c r="E20" s="180"/>
      <c r="F20" s="180"/>
      <c r="G20" s="181"/>
      <c r="M20" s="35" t="s">
        <v>20</v>
      </c>
      <c r="N20" s="35"/>
    </row>
    <row r="21" spans="1:14" s="4" customFormat="1" ht="16" thickBot="1" x14ac:dyDescent="0.4">
      <c r="A21" s="11" t="s">
        <v>21</v>
      </c>
      <c r="B21" s="12" t="s">
        <v>7</v>
      </c>
      <c r="C21" s="17" t="s">
        <v>22</v>
      </c>
      <c r="D21" s="20" t="s">
        <v>23</v>
      </c>
      <c r="E21" s="32"/>
      <c r="F21" s="182" t="s">
        <v>24</v>
      </c>
      <c r="G21" s="183"/>
      <c r="M21" s="35" t="s">
        <v>25</v>
      </c>
      <c r="N21" s="35">
        <v>35</v>
      </c>
    </row>
    <row r="22" spans="1:14" ht="15.5" x14ac:dyDescent="0.35">
      <c r="A22" s="27">
        <v>1</v>
      </c>
      <c r="B22" s="148" t="s">
        <v>26</v>
      </c>
      <c r="C22" s="29" t="str">
        <f>'T &amp; M (WS1)'!C22</f>
        <v>Does Top Management review project with consultants?</v>
      </c>
      <c r="D22" s="21"/>
      <c r="E22" s="33"/>
      <c r="F22" s="41" t="s">
        <v>28</v>
      </c>
      <c r="G22" s="13">
        <v>5</v>
      </c>
      <c r="M22" s="35" t="s">
        <v>29</v>
      </c>
      <c r="N22" s="35">
        <v>20</v>
      </c>
    </row>
    <row r="23" spans="1:14" ht="15.5" x14ac:dyDescent="0.35">
      <c r="A23" s="28">
        <f>A22+1</f>
        <v>2</v>
      </c>
      <c r="B23" s="148"/>
      <c r="C23" s="30" t="str">
        <f>'T &amp; M (WS1)'!C23</f>
        <v>Does Top Management visit Gemba on a fortnightly basis?</v>
      </c>
      <c r="D23" s="21"/>
      <c r="E23" s="33"/>
      <c r="F23" s="42" t="s">
        <v>31</v>
      </c>
      <c r="G23" s="14">
        <v>4</v>
      </c>
      <c r="M23" s="35" t="s">
        <v>32</v>
      </c>
      <c r="N23" s="35">
        <v>20</v>
      </c>
    </row>
    <row r="24" spans="1:14" ht="15.5" x14ac:dyDescent="0.35">
      <c r="A24" s="28">
        <f>A23+1</f>
        <v>3</v>
      </c>
      <c r="B24" s="148"/>
      <c r="C24" s="30" t="str">
        <f>'T &amp; M (WS1)'!C24</f>
        <v>Does Top Management attend opening &amp; closing meeting of workshops?</v>
      </c>
      <c r="D24" s="21"/>
      <c r="E24" s="33"/>
      <c r="F24" s="43" t="s">
        <v>34</v>
      </c>
      <c r="G24" s="15">
        <v>3</v>
      </c>
      <c r="M24" s="35" t="s">
        <v>35</v>
      </c>
      <c r="N24" s="35">
        <v>15</v>
      </c>
    </row>
    <row r="25" spans="1:14" ht="31" x14ac:dyDescent="0.35">
      <c r="A25" s="28">
        <f>A24+1</f>
        <v>4</v>
      </c>
      <c r="B25" s="148"/>
      <c r="C25" s="30" t="str">
        <f>'T &amp; M (WS1)'!C25</f>
        <v>Does top management actively communicate the importance of Time &amp; Motion Studies to the organization?</v>
      </c>
      <c r="D25" s="21"/>
      <c r="E25" s="33"/>
      <c r="F25" s="44" t="s">
        <v>37</v>
      </c>
      <c r="G25" s="16">
        <v>2</v>
      </c>
      <c r="M25" s="35" t="s">
        <v>38</v>
      </c>
      <c r="N25" s="35">
        <v>10</v>
      </c>
    </row>
    <row r="26" spans="1:14" ht="16" thickBot="1" x14ac:dyDescent="0.4">
      <c r="A26" s="28">
        <f>A25+1</f>
        <v>5</v>
      </c>
      <c r="B26" s="148"/>
      <c r="C26" s="30" t="str">
        <f>'T &amp; M (WS1)'!C26</f>
        <v>Does Top Management give workshop feedback on time to Quality?</v>
      </c>
      <c r="D26" s="21"/>
      <c r="E26" s="33"/>
      <c r="F26" s="45" t="s">
        <v>40</v>
      </c>
      <c r="G26" s="31">
        <v>1</v>
      </c>
      <c r="M26" s="35" t="s">
        <v>19</v>
      </c>
      <c r="N26" s="35">
        <v>100</v>
      </c>
    </row>
    <row r="27" spans="1:14" ht="15.5" x14ac:dyDescent="0.35">
      <c r="A27" s="138"/>
      <c r="B27" s="148"/>
      <c r="C27" s="18" t="str">
        <f>'T &amp; M (WS1)'!C27</f>
        <v>Total</v>
      </c>
      <c r="D27" s="22">
        <f>SUM(D22:D26)</f>
        <v>0</v>
      </c>
      <c r="E27" s="33"/>
      <c r="F27" s="186"/>
      <c r="G27" s="187"/>
    </row>
    <row r="28" spans="1:14" ht="15.5" x14ac:dyDescent="0.35">
      <c r="A28" s="139"/>
      <c r="B28" s="148"/>
      <c r="C28" s="18" t="str">
        <f>'T &amp; M (WS1)'!C28</f>
        <v>Maximum Score</v>
      </c>
      <c r="D28" s="22">
        <f>COUNT(A22:A26)*$G$22</f>
        <v>25</v>
      </c>
      <c r="E28" s="33"/>
      <c r="F28" s="186"/>
      <c r="G28" s="187"/>
    </row>
    <row r="29" spans="1:14" ht="16" thickBot="1" x14ac:dyDescent="0.4">
      <c r="A29" s="140"/>
      <c r="B29" s="149"/>
      <c r="C29" s="19" t="str">
        <f>'T &amp; M (WS1)'!C29</f>
        <v>Top Management Commitment</v>
      </c>
      <c r="D29" s="23">
        <f>D27/D28</f>
        <v>0</v>
      </c>
      <c r="E29" s="33"/>
      <c r="F29" s="186"/>
      <c r="G29" s="187"/>
    </row>
    <row r="30" spans="1:14" ht="15.5" x14ac:dyDescent="0.35">
      <c r="A30" s="27">
        <f>A26+1</f>
        <v>6</v>
      </c>
      <c r="B30" s="148" t="s">
        <v>71</v>
      </c>
      <c r="C30" s="29" t="e">
        <f>'T &amp; M (WS1)'!#REF!</f>
        <v>#REF!</v>
      </c>
      <c r="D30" s="21"/>
      <c r="E30" s="33"/>
      <c r="F30" s="186"/>
      <c r="G30" s="187"/>
    </row>
    <row r="31" spans="1:14" ht="31" x14ac:dyDescent="0.35">
      <c r="A31" s="28">
        <f t="shared" ref="A31:A34" si="0">A30+1</f>
        <v>7</v>
      </c>
      <c r="B31" s="148"/>
      <c r="C31" s="30" t="str">
        <f>'T &amp; M (WS1)'!C30</f>
        <v>Rate the Departmental Head's accessibility and provision of necessary data on time</v>
      </c>
      <c r="D31" s="21"/>
      <c r="E31" s="33"/>
      <c r="F31" s="186"/>
      <c r="G31" s="187"/>
    </row>
    <row r="32" spans="1:14" ht="31" x14ac:dyDescent="0.35">
      <c r="A32" s="28">
        <f t="shared" si="0"/>
        <v>8</v>
      </c>
      <c r="B32" s="148"/>
      <c r="C32" s="30" t="str">
        <f>'T &amp; M (WS1)'!C32</f>
        <v>The Departmental Head's involvement in addressing challenges related to data availability?</v>
      </c>
      <c r="D32" s="21"/>
      <c r="E32" s="33"/>
      <c r="F32" s="186"/>
      <c r="G32" s="187"/>
    </row>
    <row r="33" spans="1:7" ht="31" x14ac:dyDescent="0.35">
      <c r="A33" s="28">
        <f t="shared" si="0"/>
        <v>9</v>
      </c>
      <c r="B33" s="148"/>
      <c r="C33" s="30" t="str">
        <f>'T &amp; M (WS1)'!C33</f>
        <v>The Departmental Head's support for trying new ways of collecting and analysing data.</v>
      </c>
      <c r="D33" s="21"/>
      <c r="E33" s="33"/>
      <c r="F33" s="186"/>
      <c r="G33" s="187"/>
    </row>
    <row r="34" spans="1:7" ht="31" x14ac:dyDescent="0.35">
      <c r="A34" s="28">
        <f t="shared" si="0"/>
        <v>10</v>
      </c>
      <c r="B34" s="148"/>
      <c r="C34" s="30" t="str">
        <f>'T &amp; M (WS1)'!C34</f>
        <v>The Departmental Head's support in identifying and addressing gaps in data availability</v>
      </c>
      <c r="D34" s="21"/>
      <c r="E34" s="33"/>
      <c r="F34" s="186"/>
      <c r="G34" s="187"/>
    </row>
    <row r="35" spans="1:7" ht="15.5" x14ac:dyDescent="0.35">
      <c r="A35" s="138"/>
      <c r="B35" s="148"/>
      <c r="C35" s="18" t="str">
        <f>'T &amp; M (WS1)'!C35</f>
        <v>Total</v>
      </c>
      <c r="D35" s="22">
        <f>SUM(D30:D34)</f>
        <v>0</v>
      </c>
      <c r="E35" s="33"/>
      <c r="F35" s="186"/>
      <c r="G35" s="187"/>
    </row>
    <row r="36" spans="1:7" ht="15.5" x14ac:dyDescent="0.35">
      <c r="A36" s="139"/>
      <c r="B36" s="148"/>
      <c r="C36" s="18" t="str">
        <f>'T &amp; M (WS1)'!C36</f>
        <v>Maximum Score</v>
      </c>
      <c r="D36" s="22">
        <f>COUNT(A30:A34)*$G$22</f>
        <v>25</v>
      </c>
      <c r="E36" s="33"/>
      <c r="F36" s="186"/>
      <c r="G36" s="187"/>
    </row>
    <row r="37" spans="1:7" ht="16" thickBot="1" x14ac:dyDescent="0.4">
      <c r="A37" s="140"/>
      <c r="B37" s="149"/>
      <c r="C37" s="19" t="str">
        <f>'T &amp; M (WS1)'!C37</f>
        <v>Departmental Heads' Commitment</v>
      </c>
      <c r="D37" s="23">
        <f>D35/D36</f>
        <v>0</v>
      </c>
      <c r="E37" s="33"/>
      <c r="F37" s="186"/>
      <c r="G37" s="187"/>
    </row>
    <row r="38" spans="1:7" ht="15.5" x14ac:dyDescent="0.35">
      <c r="A38" s="27">
        <f>A34+1</f>
        <v>11</v>
      </c>
      <c r="B38" s="148" t="s">
        <v>72</v>
      </c>
      <c r="C38" s="29" t="str">
        <f>'T &amp; M (WS1)'!C38</f>
        <v>Are team members available full time to drive projects during workshop?</v>
      </c>
      <c r="D38" s="21"/>
      <c r="E38" s="33"/>
      <c r="F38" s="186"/>
      <c r="G38" s="187"/>
    </row>
    <row r="39" spans="1:7" ht="15.5" x14ac:dyDescent="0.35">
      <c r="A39" s="28">
        <f t="shared" ref="A39:A42" si="1">A38+1</f>
        <v>12</v>
      </c>
      <c r="B39" s="148"/>
      <c r="C39" s="30" t="str">
        <f>'T &amp; M (WS1)'!C39</f>
        <v>How committed is the project team towards process improvement?</v>
      </c>
      <c r="D39" s="21"/>
      <c r="E39" s="33"/>
      <c r="F39" s="186"/>
      <c r="G39" s="187"/>
    </row>
    <row r="40" spans="1:7" ht="31" x14ac:dyDescent="0.35">
      <c r="A40" s="28">
        <f t="shared" si="1"/>
        <v>13</v>
      </c>
      <c r="B40" s="148"/>
      <c r="C40" s="30" t="str">
        <f>'T &amp; M (WS1)'!C40</f>
        <v>Rate the White Collar Team's proactiveness in seeking additional data or information related to their tasks.</v>
      </c>
      <c r="D40" s="21"/>
      <c r="E40" s="33"/>
      <c r="F40" s="186"/>
      <c r="G40" s="187"/>
    </row>
    <row r="41" spans="1:7" ht="15.5" x14ac:dyDescent="0.35">
      <c r="A41" s="28">
        <f t="shared" si="1"/>
        <v>14</v>
      </c>
      <c r="B41" s="148"/>
      <c r="C41" s="30">
        <f>'T &amp; M (WS1)'!C41</f>
        <v>0</v>
      </c>
      <c r="D41" s="21"/>
      <c r="E41" s="33"/>
      <c r="F41" s="186"/>
      <c r="G41" s="187"/>
    </row>
    <row r="42" spans="1:7" ht="15.5" x14ac:dyDescent="0.35">
      <c r="A42" s="28">
        <f t="shared" si="1"/>
        <v>15</v>
      </c>
      <c r="B42" s="148"/>
      <c r="C42" s="30">
        <f>'T &amp; M (WS1)'!C42</f>
        <v>0</v>
      </c>
      <c r="D42" s="21"/>
      <c r="E42" s="33"/>
      <c r="F42" s="186"/>
      <c r="G42" s="187"/>
    </row>
    <row r="43" spans="1:7" ht="15.5" x14ac:dyDescent="0.35">
      <c r="A43" s="138"/>
      <c r="B43" s="148"/>
      <c r="C43" s="18" t="str">
        <f>'T &amp; M (WS1)'!C43</f>
        <v>Total</v>
      </c>
      <c r="D43" s="22">
        <f>SUM(D38:D42)</f>
        <v>0</v>
      </c>
      <c r="E43" s="33"/>
      <c r="F43" s="186"/>
      <c r="G43" s="187"/>
    </row>
    <row r="44" spans="1:7" ht="15.5" x14ac:dyDescent="0.35">
      <c r="A44" s="139"/>
      <c r="B44" s="148"/>
      <c r="C44" s="18" t="str">
        <f>'T &amp; M (WS1)'!C44</f>
        <v>Maximum Score</v>
      </c>
      <c r="D44" s="22">
        <f>COUNT(A38:A42)*$G$22</f>
        <v>25</v>
      </c>
      <c r="E44" s="33"/>
      <c r="F44" s="186"/>
      <c r="G44" s="187"/>
    </row>
    <row r="45" spans="1:7" ht="16" thickBot="1" x14ac:dyDescent="0.4">
      <c r="A45" s="140"/>
      <c r="B45" s="149"/>
      <c r="C45" s="19" t="str">
        <f>'T &amp; M (WS1)'!C45</f>
        <v>Managerial Team's Commitment</v>
      </c>
      <c r="D45" s="23">
        <f>D43/D44</f>
        <v>0</v>
      </c>
      <c r="E45" s="33"/>
      <c r="F45" s="186"/>
      <c r="G45" s="187"/>
    </row>
    <row r="46" spans="1:7" ht="15.5" x14ac:dyDescent="0.35">
      <c r="A46" s="27">
        <f>A42+1</f>
        <v>16</v>
      </c>
      <c r="B46" s="148" t="s">
        <v>73</v>
      </c>
      <c r="C46" s="29" t="str">
        <f>'T &amp; M (WS1)'!C46</f>
        <v>Are travel arrangements done in convenient manner?</v>
      </c>
      <c r="D46" s="21"/>
      <c r="E46" s="33"/>
      <c r="F46" s="186"/>
      <c r="G46" s="187"/>
    </row>
    <row r="47" spans="1:7" ht="15.5" x14ac:dyDescent="0.35">
      <c r="A47" s="28">
        <f t="shared" ref="A47:A50" si="2">A46+1</f>
        <v>17</v>
      </c>
      <c r="B47" s="148"/>
      <c r="C47" s="30" t="str">
        <f>'T &amp; M (WS1)'!C47</f>
        <v>Is client team supporting Faber Travel desk on time?</v>
      </c>
      <c r="D47" s="21"/>
      <c r="E47" s="33"/>
      <c r="F47" s="186"/>
      <c r="G47" s="187"/>
    </row>
    <row r="48" spans="1:7" ht="15.5" x14ac:dyDescent="0.35">
      <c r="A48" s="28">
        <f t="shared" si="2"/>
        <v>18</v>
      </c>
      <c r="B48" s="148"/>
      <c r="C48" s="30" t="str">
        <f>'T &amp; M (WS1)'!C48</f>
        <v>Is dedicated workstation given to consulting team?</v>
      </c>
      <c r="D48" s="21"/>
      <c r="E48" s="33"/>
      <c r="F48" s="186"/>
      <c r="G48" s="187"/>
    </row>
    <row r="49" spans="1:14" ht="15.5" x14ac:dyDescent="0.35">
      <c r="A49" s="28">
        <f t="shared" si="2"/>
        <v>19</v>
      </c>
      <c r="B49" s="148"/>
      <c r="C49" s="30" t="str">
        <f>'T &amp; M (WS1)'!C49</f>
        <v>Has the team been provided with necessary supplies and internet access?</v>
      </c>
      <c r="D49" s="21"/>
      <c r="E49" s="33"/>
      <c r="F49" s="186"/>
      <c r="G49" s="187"/>
    </row>
    <row r="50" spans="1:14" ht="15.5" x14ac:dyDescent="0.35">
      <c r="A50" s="28">
        <f t="shared" si="2"/>
        <v>20</v>
      </c>
      <c r="B50" s="148"/>
      <c r="C50" s="30" t="str">
        <f>'T &amp; M (WS1)'!C50</f>
        <v>Is accommodation arrangement done properly?</v>
      </c>
      <c r="D50" s="21"/>
      <c r="E50" s="33"/>
      <c r="F50" s="186"/>
      <c r="G50" s="187"/>
    </row>
    <row r="51" spans="1:14" ht="15.5" x14ac:dyDescent="0.35">
      <c r="A51" s="138"/>
      <c r="B51" s="148"/>
      <c r="C51" s="18" t="str">
        <f>'T &amp; M (WS1)'!C51</f>
        <v>Total</v>
      </c>
      <c r="D51" s="22">
        <f>SUM(D46:D50)</f>
        <v>0</v>
      </c>
      <c r="E51" s="33"/>
      <c r="F51" s="186"/>
      <c r="G51" s="187"/>
    </row>
    <row r="52" spans="1:14" ht="15.5" x14ac:dyDescent="0.35">
      <c r="A52" s="139"/>
      <c r="B52" s="148"/>
      <c r="C52" s="18" t="str">
        <f>'T &amp; M (WS1)'!C52</f>
        <v>Maximum Score</v>
      </c>
      <c r="D52" s="22">
        <f>COUNT(A46:A50)*$G$22</f>
        <v>25</v>
      </c>
      <c r="E52" s="33"/>
      <c r="F52" s="186"/>
      <c r="G52" s="187"/>
    </row>
    <row r="53" spans="1:14" ht="16" thickBot="1" x14ac:dyDescent="0.4">
      <c r="A53" s="140"/>
      <c r="B53" s="149"/>
      <c r="C53" s="19" t="str">
        <f>'T &amp; M (WS1)'!C53</f>
        <v>Administrative support</v>
      </c>
      <c r="D53" s="23">
        <f>D51/D52</f>
        <v>0</v>
      </c>
      <c r="E53" s="33"/>
      <c r="F53" s="186"/>
      <c r="G53" s="187"/>
    </row>
    <row r="54" spans="1:14" ht="15.75" customHeight="1" x14ac:dyDescent="0.35">
      <c r="A54" s="27">
        <f>A50+1</f>
        <v>21</v>
      </c>
      <c r="B54" s="148" t="s">
        <v>12</v>
      </c>
      <c r="C54" s="29" t="e">
        <f>'T &amp; M (WS1)'!#REF!</f>
        <v>#REF!</v>
      </c>
      <c r="D54" s="21"/>
      <c r="E54" s="33"/>
      <c r="F54" s="186"/>
      <c r="G54" s="187"/>
    </row>
    <row r="55" spans="1:14" ht="15.75" customHeight="1" x14ac:dyDescent="0.35">
      <c r="A55" s="28">
        <f t="shared" ref="A55:A58" si="3">A54+1</f>
        <v>22</v>
      </c>
      <c r="B55" s="148"/>
      <c r="C55" s="30" t="e">
        <f>'T &amp; M (WS1)'!#REF!</f>
        <v>#REF!</v>
      </c>
      <c r="D55" s="21"/>
      <c r="E55" s="33"/>
      <c r="F55" s="186"/>
      <c r="G55" s="187"/>
    </row>
    <row r="56" spans="1:14" ht="15.75" customHeight="1" x14ac:dyDescent="0.35">
      <c r="A56" s="28">
        <f t="shared" si="3"/>
        <v>23</v>
      </c>
      <c r="B56" s="148"/>
      <c r="C56" s="30" t="e">
        <f>'T &amp; M (WS1)'!#REF!</f>
        <v>#REF!</v>
      </c>
      <c r="D56" s="21"/>
      <c r="E56" s="33"/>
      <c r="F56" s="186"/>
      <c r="G56" s="187"/>
    </row>
    <row r="57" spans="1:14" ht="15.75" customHeight="1" x14ac:dyDescent="0.35">
      <c r="A57" s="28">
        <f t="shared" si="3"/>
        <v>24</v>
      </c>
      <c r="B57" s="148"/>
      <c r="C57" s="30" t="e">
        <f>'T &amp; M (WS1)'!#REF!</f>
        <v>#REF!</v>
      </c>
      <c r="D57" s="21"/>
      <c r="E57" s="33"/>
      <c r="F57" s="186"/>
      <c r="G57" s="187"/>
    </row>
    <row r="58" spans="1:14" ht="15.75" customHeight="1" x14ac:dyDescent="0.35">
      <c r="A58" s="28">
        <f t="shared" si="3"/>
        <v>25</v>
      </c>
      <c r="B58" s="148"/>
      <c r="C58" s="30" t="e">
        <f>'T &amp; M (WS1)'!#REF!</f>
        <v>#REF!</v>
      </c>
      <c r="D58" s="21"/>
      <c r="E58" s="33"/>
      <c r="F58" s="186"/>
      <c r="G58" s="187"/>
    </row>
    <row r="59" spans="1:14" ht="15.5" x14ac:dyDescent="0.35">
      <c r="A59" s="138"/>
      <c r="B59" s="148"/>
      <c r="C59" s="18" t="e">
        <f>'T &amp; M (WS1)'!#REF!</f>
        <v>#REF!</v>
      </c>
      <c r="D59" s="22">
        <f>SUM(D54:D58)</f>
        <v>0</v>
      </c>
      <c r="E59" s="33"/>
      <c r="F59" s="186"/>
      <c r="G59" s="187"/>
    </row>
    <row r="60" spans="1:14" ht="15.5" x14ac:dyDescent="0.35">
      <c r="A60" s="139"/>
      <c r="B60" s="148"/>
      <c r="C60" s="18" t="e">
        <f>'T &amp; M (WS1)'!#REF!</f>
        <v>#REF!</v>
      </c>
      <c r="D60" s="22">
        <f>COUNT(A54:A58)*$G$22</f>
        <v>25</v>
      </c>
      <c r="E60" s="33"/>
      <c r="F60" s="186"/>
      <c r="G60" s="187"/>
    </row>
    <row r="61" spans="1:14" ht="16" thickBot="1" x14ac:dyDescent="0.4">
      <c r="A61" s="140"/>
      <c r="B61" s="149"/>
      <c r="C61" s="19" t="e">
        <f>'T &amp; M (WS1)'!#REF!</f>
        <v>#REF!</v>
      </c>
      <c r="D61" s="23">
        <f>D59/D60</f>
        <v>0</v>
      </c>
      <c r="E61" s="33"/>
      <c r="F61" s="186"/>
      <c r="G61" s="187"/>
    </row>
    <row r="62" spans="1:14" s="5" customFormat="1" x14ac:dyDescent="0.35">
      <c r="A62" s="194"/>
      <c r="B62" s="195"/>
      <c r="C62" s="46" t="s">
        <v>59</v>
      </c>
      <c r="D62" s="24">
        <f>D27+D35+D43+D51+D59</f>
        <v>0</v>
      </c>
      <c r="E62" s="33"/>
      <c r="F62" s="186"/>
      <c r="G62" s="187"/>
      <c r="M62" s="40"/>
      <c r="N62" s="40"/>
    </row>
    <row r="63" spans="1:14" x14ac:dyDescent="0.35">
      <c r="A63" s="196"/>
      <c r="B63" s="197"/>
      <c r="C63" s="47" t="s">
        <v>60</v>
      </c>
      <c r="D63" s="25">
        <f>+D28+D44+D52+D60+D36</f>
        <v>125</v>
      </c>
      <c r="E63" s="33"/>
      <c r="F63" s="186"/>
      <c r="G63" s="187"/>
    </row>
    <row r="64" spans="1:14" s="2" customFormat="1" ht="16" thickBot="1" x14ac:dyDescent="0.4">
      <c r="A64" s="198"/>
      <c r="B64" s="199"/>
      <c r="C64" s="48" t="s">
        <v>61</v>
      </c>
      <c r="D64" s="26">
        <f>D62/D63</f>
        <v>0</v>
      </c>
      <c r="E64" s="34"/>
      <c r="F64" s="188"/>
      <c r="G64" s="189"/>
      <c r="M64" s="39"/>
      <c r="N64" s="39"/>
    </row>
    <row r="66" spans="7:7" x14ac:dyDescent="0.35">
      <c r="G66" s="7"/>
    </row>
    <row r="67" spans="7:7" x14ac:dyDescent="0.35">
      <c r="G67" s="7"/>
    </row>
    <row r="68" spans="7:7" x14ac:dyDescent="0.35">
      <c r="G68" s="7"/>
    </row>
    <row r="69" spans="7:7" x14ac:dyDescent="0.35">
      <c r="G69" s="7"/>
    </row>
  </sheetData>
  <mergeCells count="21">
    <mergeCell ref="A1:G1"/>
    <mergeCell ref="A2:B2"/>
    <mergeCell ref="D2:G6"/>
    <mergeCell ref="A3:B3"/>
    <mergeCell ref="A4:B4"/>
    <mergeCell ref="A5:B5"/>
    <mergeCell ref="A6:B6"/>
    <mergeCell ref="A51:A53"/>
    <mergeCell ref="B54:B61"/>
    <mergeCell ref="A59:A61"/>
    <mergeCell ref="A62:B64"/>
    <mergeCell ref="A7:G20"/>
    <mergeCell ref="F21:G21"/>
    <mergeCell ref="B22:B29"/>
    <mergeCell ref="A27:A29"/>
    <mergeCell ref="F27:G64"/>
    <mergeCell ref="B30:B37"/>
    <mergeCell ref="A35:A37"/>
    <mergeCell ref="B38:B45"/>
    <mergeCell ref="A43:A45"/>
    <mergeCell ref="B46:B53"/>
  </mergeCells>
  <conditionalFormatting sqref="D22:D26">
    <cfRule type="cellIs" dxfId="29" priority="25" operator="equal">
      <formula>1</formula>
    </cfRule>
    <cfRule type="cellIs" dxfId="28" priority="26" operator="equal">
      <formula>2</formula>
    </cfRule>
    <cfRule type="cellIs" dxfId="27" priority="27" operator="equal">
      <formula>3</formula>
    </cfRule>
    <cfRule type="cellIs" dxfId="26" priority="28" operator="equal">
      <formula>4</formula>
    </cfRule>
    <cfRule type="cellIs" dxfId="25" priority="29" operator="equal">
      <formula>5</formula>
    </cfRule>
    <cfRule type="containsBlanks" dxfId="24" priority="30">
      <formula>LEN(TRIM(D22))=0</formula>
    </cfRule>
  </conditionalFormatting>
  <conditionalFormatting sqref="D30:D34">
    <cfRule type="cellIs" dxfId="23" priority="19" operator="equal">
      <formula>1</formula>
    </cfRule>
    <cfRule type="cellIs" dxfId="22" priority="20" operator="equal">
      <formula>2</formula>
    </cfRule>
    <cfRule type="cellIs" dxfId="21" priority="21" operator="equal">
      <formula>3</formula>
    </cfRule>
    <cfRule type="cellIs" dxfId="20" priority="22" operator="equal">
      <formula>4</formula>
    </cfRule>
    <cfRule type="cellIs" dxfId="19" priority="23" operator="equal">
      <formula>5</formula>
    </cfRule>
    <cfRule type="containsBlanks" dxfId="18" priority="24">
      <formula>LEN(TRIM(D30))=0</formula>
    </cfRule>
  </conditionalFormatting>
  <conditionalFormatting sqref="D38:D42">
    <cfRule type="cellIs" dxfId="17" priority="13" operator="equal">
      <formula>1</formula>
    </cfRule>
    <cfRule type="cellIs" dxfId="16" priority="14" operator="equal">
      <formula>2</formula>
    </cfRule>
    <cfRule type="cellIs" dxfId="15" priority="15" operator="equal">
      <formula>3</formula>
    </cfRule>
    <cfRule type="cellIs" dxfId="14" priority="16" operator="equal">
      <formula>4</formula>
    </cfRule>
    <cfRule type="cellIs" dxfId="13" priority="17" operator="equal">
      <formula>5</formula>
    </cfRule>
    <cfRule type="containsBlanks" dxfId="12" priority="18">
      <formula>LEN(TRIM(D38))=0</formula>
    </cfRule>
  </conditionalFormatting>
  <conditionalFormatting sqref="D46:D50">
    <cfRule type="cellIs" dxfId="11" priority="7" operator="equal">
      <formula>1</formula>
    </cfRule>
    <cfRule type="cellIs" dxfId="10" priority="8" operator="equal">
      <formula>2</formula>
    </cfRule>
    <cfRule type="cellIs" dxfId="9" priority="9" operator="equal">
      <formula>3</formula>
    </cfRule>
    <cfRule type="cellIs" dxfId="8" priority="10" operator="equal">
      <formula>4</formula>
    </cfRule>
    <cfRule type="cellIs" dxfId="7" priority="11" operator="equal">
      <formula>5</formula>
    </cfRule>
    <cfRule type="containsBlanks" dxfId="6" priority="12">
      <formula>LEN(TRIM(D46))=0</formula>
    </cfRule>
  </conditionalFormatting>
  <conditionalFormatting sqref="D54:D58">
    <cfRule type="cellIs" dxfId="5" priority="1" operator="equal">
      <formula>1</formula>
    </cfRule>
    <cfRule type="cellIs" dxfId="4" priority="2" operator="equal">
      <formula>2</formula>
    </cfRule>
    <cfRule type="cellIs" dxfId="3" priority="3" operator="equal">
      <formula>3</formula>
    </cfRule>
    <cfRule type="cellIs" dxfId="2" priority="4" operator="equal">
      <formula>4</formula>
    </cfRule>
    <cfRule type="cellIs" dxfId="1" priority="5" operator="equal">
      <formula>5</formula>
    </cfRule>
    <cfRule type="containsBlanks" dxfId="0" priority="6">
      <formula>LEN(TRIM(D54))=0</formula>
    </cfRule>
  </conditionalFormatting>
  <dataValidations count="1">
    <dataValidation type="list" allowBlank="1" showInputMessage="1" showErrorMessage="1" sqref="D54:D58 D38:D42 D46:D50 D30:D34 D22:D26" xr:uid="{00000000-0002-0000-0800-000000000000}">
      <formula1>$G$22:$G$26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7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Summary</vt:lpstr>
      <vt:lpstr>T &amp; M (WS1)</vt:lpstr>
      <vt:lpstr>T &amp; M (WS2)</vt:lpstr>
      <vt:lpstr>T &amp; M (WS3)</vt:lpstr>
      <vt:lpstr>T &amp; M (WS4)</vt:lpstr>
      <vt:lpstr>Key to Score</vt:lpstr>
      <vt:lpstr>WS 10</vt:lpstr>
      <vt:lpstr>WS 11</vt:lpstr>
      <vt:lpstr>WS 12</vt:lpstr>
      <vt:lpstr>Summary!Print_Area</vt:lpstr>
      <vt:lpstr>'T &amp; M (WS1)'!Print_Area</vt:lpstr>
      <vt:lpstr>'T &amp; M (WS2)'!Print_Area</vt:lpstr>
      <vt:lpstr>'T &amp; M (WS3)'!Print_Area</vt:lpstr>
      <vt:lpstr>'T &amp; M (WS4)'!Print_Area</vt:lpstr>
      <vt:lpstr>'WS 10'!Print_Area</vt:lpstr>
      <vt:lpstr>'WS 11'!Print_Area</vt:lpstr>
      <vt:lpstr>'WS 12'!Print_Area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Preeti</dc:creator>
  <cp:keywords/>
  <dc:description/>
  <cp:lastModifiedBy>Nikhil Harwalkar</cp:lastModifiedBy>
  <cp:revision/>
  <cp:lastPrinted>2025-09-29T04:50:29Z</cp:lastPrinted>
  <dcterms:created xsi:type="dcterms:W3CDTF">2021-06-02T06:26:56Z</dcterms:created>
  <dcterms:modified xsi:type="dcterms:W3CDTF">2026-01-08T10:12:07Z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66a18c8e-db6d-4222-b752-9b35b32c8c5b</vt:lpwstr>
  </property>
</Properties>
</file>